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d5750449e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TV Simulator" sheetId="1" r:id="Ref3f23c0bab34570"/>
    <x:sheet xmlns:r="http://schemas.openxmlformats.org/officeDocument/2006/relationships" name="Model Parameters" sheetId="2" r:id="Rd788ed23245c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.0000"/>
    <x:numFmt numFmtId="202" formatCode="0.000000"/>
    <x:numFmt numFmtId="203" formatCode="R$ #,##0.00;[Red]-R$ #,##0.0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333333"/>
      <x:name val="Carlito"/>
    </x:font>
    <x:font>
      <x:b/>
      <x:sz val="11"/>
      <x:color rgb="FFFFFFFF"/>
      <x:name val="Carlito"/>
    </x:font>
    <x:font>
      <x:b/>
      <x:sz val="11"/>
      <x:color rgb="FF333333"/>
      <x:name val="Carlito"/>
    </x:font>
    <x:font>
      <x:b/>
      <x:sz val="12"/>
      <x:name val="Carlito"/>
    </x:font>
    <x:font>
      <x:b/>
      <x:sz val="16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i/>
      <x:sz val="9"/>
      <x:color rgb="FF555555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6" fillId="8" borderId="0" xfId="0" applyNumberFormat="1" applyFont="1" applyFill="1" applyBorder="1"/>
    <x:xf numFmtId="200" fontId="6" fillId="8" borderId="0" xfId="0" applyNumberFormat="1" applyFont="1" applyFill="1" applyBorder="1"/>
    <x:xf numFmtId="200" fontId="6" fillId="8" borderId="0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/>
    <x:xf numFmtId="200" fontId="6" fillId="8" borderId="1" xfId="0" applyNumberFormat="1" applyFont="1" applyFill="1" applyBorder="1"/>
    <x:xf numFmtId="200" fontId="6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center" wrapText="1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5d9aacf70439e" /><Relationship Type="http://schemas.openxmlformats.org/officeDocument/2006/relationships/theme" Target="/xl/theme/theme1.xml" Id="R641b8ba313da460a" /><Relationship Type="http://schemas.openxmlformats.org/officeDocument/2006/relationships/sharedStrings" Target="/xl/sharedStrings.xml" Id="Re886811ae7604575" /><Relationship Type="http://schemas.openxmlformats.org/officeDocument/2006/relationships/worksheet" Target="/xl/worksheets/sheet1.xml" Id="Ref3f23c0bab34570" /><Relationship Type="http://schemas.openxmlformats.org/officeDocument/2006/relationships/worksheet" Target="/xl/worksheets/sheet2.xml" Id="Rd788ed23245c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14" hidden="0" customWidth="1"/>
    <x:col min="5" max="5" width="50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EXPLAINED CUSTOMER LTV SIMULATOR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 ht="34" customHeight="1">
      <x:c r="A3" s="13" t="str">
        <x:v>Enter the customer information in the yellow cells. The workbook predicts LTV and explains how each feature changes the estimate.</x:v>
      </x:c>
      <x:c r="B3" s="13"/>
      <x:c r="C3" s="13"/>
      <x:c r="D3" s="13"/>
      <x:c r="E3" s="13"/>
      <x:c r="F3" s="13"/>
      <x:c r="G3" s="13"/>
      <x:c r="H3" s="13"/>
    </x:row>
    <x:row r="5">
      <x:c r="A5" s="20" t="str">
        <x:v>CUSTOMER INPUT</x:v>
      </x:c>
      <x:c r="B5" s="20" t="str">
        <x:v>SELECTED VALUE</x:v>
      </x:c>
      <x:c r="D5" s="36" t="str">
        <x:v>MODEL RESULT</x:v>
      </x:c>
      <x:c r="E5" s="36"/>
      <x:c r="F5" s="36"/>
      <x:c r="G5" s="36"/>
      <x:c r="H5" s="36"/>
    </x:row>
    <x:row r="6">
      <x:c r="A6" s="25" t="str">
        <x:v>First Purchase Value (R$)</x:v>
      </x:c>
      <x:c r="B6" s="32" t="n">
        <x:v>708</x:v>
      </x:c>
      <x:c r="D6" s="41" t="str">
        <x:v>Predicted LTV</x:v>
      </x:c>
      <x:c r="E6" s="46" t="n">
        <x:f>C28</x:f>
        <x:v>2737.07</x:v>
      </x:c>
    </x:row>
    <x:row r="7">
      <x:c r="A7" s="25" t="str">
        <x:v>Recurring First Purchase?</x:v>
      </x:c>
      <x:c r="B7" s="29" t="str">
        <x:v>No</x:v>
      </x:c>
    </x:row>
    <x:row r="8">
      <x:c r="A8" s="25" t="str">
        <x:v>Entry Product</x:v>
      </x:c>
      <x:c r="B8" s="29" t="str">
        <x:v>Commercial</x:v>
      </x:c>
      <x:c r="D8" s="53" t="str">
        <x:v>Selected Model</x:v>
      </x:c>
      <x:c r="E8" s="53" t="str">
        <x:v>Test R²</x:v>
      </x:c>
      <x:c r="F8" s="53" t="str">
        <x:v>Test RMSE</x:v>
      </x:c>
      <x:c r="G8" s="53" t="str">
        <x:v>Test MAE</x:v>
      </x:c>
      <x:c r="H8" s="53" t="str">
        <x:v>Quick Interpretation</x:v>
      </x:c>
    </x:row>
    <x:row r="9">
      <x:c r="A9" s="25" t="str">
        <x:v>Sales Channel</x:v>
      </x:c>
      <x:c r="B9" s="29" t="str">
        <x:v>Checkout</x:v>
      </x:c>
      <x:c r="D9" t="str">
        <x:v>Linear Regression</x:v>
      </x:c>
      <x:c r="E9" s="58" t="n">
        <x:v>0.8478</x:v>
      </x:c>
      <x:c r="F9" s="60" t="n">
        <x:v>507.74</x:v>
      </x:c>
      <x:c r="G9" s="60" t="n">
        <x:v>404.03</x:v>
      </x:c>
      <x:c r="H9" t="str">
        <x:v>Explains about 84.8% of the variation in LTV</x:v>
      </x:c>
    </x:row>
    <x:row r="10">
      <x:c r="A10" s="25" t="str">
        <x:v>Gender</x:v>
      </x:c>
      <x:c r="B10" s="29" t="str">
        <x:v>Female</x:v>
      </x:c>
    </x:row>
    <x:row r="11">
      <x:c r="A11" s="25" t="str">
        <x:v>Education</x:v>
      </x:c>
      <x:c r="B11" s="29" t="str">
        <x:v>Basic Education</x:v>
      </x:c>
    </x:row>
    <x:row r="12">
      <x:c r="A12" s="25" t="str">
        <x:v>Purchase Month</x:v>
      </x:c>
      <x:c r="B12" s="29" t="n">
        <x:v>1</x:v>
      </x:c>
    </x:row>
    <x:row r="13">
      <x:c r="A13" s="25" t="str">
        <x:v>Purchase Day of Week</x:v>
      </x:c>
      <x:c r="B13" s="29" t="str">
        <x:v>Friday</x:v>
      </x:c>
    </x:row>
    <x:row r="16">
      <x:c r="A16" s="69" t="str">
        <x:v>HOW THE MODEL ARRIVED AT THE LTV ESTIMATE</x:v>
      </x:c>
      <x:c r="B16" s="69"/>
      <x:c r="C16" s="69"/>
      <x:c r="D16" s="69"/>
      <x:c r="E16" s="69"/>
      <x:c r="F16" s="69"/>
      <x:c r="G16" s="69"/>
      <x:c r="H16" s="69"/>
    </x:row>
    <x:row r="17">
      <x:c r="A17" s="75" t="str">
        <x:v>Factor</x:v>
      </x:c>
      <x:c r="B17" s="75" t="str">
        <x:v>Customer Value</x:v>
      </x:c>
      <x:c r="C17" s="75" t="str">
        <x:v>Impact on LTV (R$)</x:v>
      </x:c>
      <x:c r="D17" s="75" t="str">
        <x:v>Direction</x:v>
      </x:c>
      <x:c r="E17" s="75" t="str">
        <x:v>Interpretation</x:v>
      </x:c>
    </x:row>
    <x:row r="18">
      <x:c r="A18" t="str">
        <x:v>Model baseline</x:v>
      </x:c>
      <x:c r="B18" t="str">
        <x:v>Starting point</x:v>
      </x:c>
      <x:c r="C18" s="80" t="n">
        <x:f>ROUND('Model Parameters'!$G$2,2)</x:f>
        <x:v>2747.89</x:v>
      </x:c>
      <x:c r="D18" t="str">
        <x:f>IF(C18&gt;0,"Increases",IF(C18&lt;0,"Decreases","Neutral"))</x:f>
        <x:v>Increases</x:v>
      </x:c>
      <x:c r="E18" s="88" t="str">
        <x:v>Base prediction before customer-specific adjustments.</x:v>
      </x:c>
    </x:row>
    <x:row r="19">
      <x:c r="A19" t="str">
        <x:v>First purchase value</x:v>
      </x:c>
      <x:c r="B19" s="60" t="n">
        <x:f>B6</x:f>
        <x:v>708</x:v>
      </x:c>
      <x:c r="C19" s="80" t="n">
        <x:f>ROUND('Model Parameters'!$G$5*((B6-'Model Parameters'!$G$3)/'Model Parameters'!$G$4),2)</x:f>
        <x:v>-10.82</x:v>
      </x:c>
      <x:c r="D19" t="str">
        <x:f>IF(C19&gt;0,"Increases",IF(C19&lt;0,"Decreases","Neutral"))</x:f>
        <x:v>Decreases</x:v>
      </x:c>
      <x:c r="E19" s="88" t="str">
        <x:f>IF(B6&gt;'Model Parameters'!$G$3,"First purchase is above the training-set mean and increases the estimate.",IF(B6&lt;'Model Parameters'!$G$3,"First purchase is below the training-set mean and decreases the estimate.","First purchase is close to the training-set mean."))</x:f>
        <x:v>First purchase is below the training-set mean and decreases the estimate.</x:v>
      </x:c>
    </x:row>
    <x:row r="20">
      <x:c r="A20" t="str">
        <x:v>Recurrence</x:v>
      </x:c>
      <x:c r="B20" t="str">
        <x:f>B7</x:f>
        <x:v>No</x:v>
      </x:c>
      <x:c r="C20" s="80" t="n">
        <x:f>IF(B7="","",ROUND('Model Parameters'!$G$6*IF(B7="Yes",1,0),2))</x:f>
        <x:v>0</x:v>
      </x:c>
      <x:c r="D20" t="str">
        <x:f>IF(C20&gt;0,"Increases",IF(C20&lt;0,"Decreases","Neutral"))</x:f>
        <x:v>Neutral</x:v>
      </x:c>
      <x:c r="E20" s="88" t="str">
        <x:v>Effect of a recurring first purchase.</x:v>
      </x:c>
    </x:row>
    <x:row r="21">
      <x:c r="A21" t="str">
        <x:v>Entry product</x:v>
      </x:c>
      <x:c r="B21" t="str">
        <x:f>B8</x:f>
        <x:v>Commercial</x:v>
      </x:c>
      <x:c r="C21" s="80" t="n">
        <x:f>ROUND(SUMIFS('Model Parameters'!$C$2:$C$46,'Model Parameters'!$A$2:$A$46,"entry_product",'Model Parameters'!$B$2:$B$46,B8),2)</x:f>
        <x:v>0</x:v>
      </x:c>
      <x:c r="D21" t="str">
        <x:f>IF(C21&gt;0,"Increases",IF(C21&lt;0,"Decreases","Neutral"))</x:f>
        <x:v>Neutral</x:v>
      </x:c>
      <x:c r="E21" s="88" t="str">
        <x:v>Effect relative to the product reference category.</x:v>
      </x:c>
    </x:row>
    <x:row r="22">
      <x:c r="A22" t="str">
        <x:v>Sales channel</x:v>
      </x:c>
      <x:c r="B22" t="str">
        <x:f>B9</x:f>
        <x:v>Checkout</x:v>
      </x:c>
      <x:c r="C22" s="80" t="n">
        <x:f>ROUND(SUMIFS('Model Parameters'!$C$2:$C$46,'Model Parameters'!$A$2:$A$46,"sales_channel",'Model Parameters'!$B$2:$B$46,B9),2)</x:f>
        <x:v>0</x:v>
      </x:c>
      <x:c r="D22" t="str">
        <x:f>IF(C22&gt;0,"Increases",IF(C22&lt;0,"Decreases","Neutral"))</x:f>
        <x:v>Neutral</x:v>
      </x:c>
      <x:c r="E22" s="88" t="str">
        <x:v>Effect relative to the sales-channel reference category.</x:v>
      </x:c>
    </x:row>
    <x:row r="23">
      <x:c r="A23" t="str">
        <x:v>Gender</x:v>
      </x:c>
      <x:c r="B23" t="str">
        <x:f>B10</x:f>
        <x:v>Female</x:v>
      </x:c>
      <x:c r="C23" s="80" t="n">
        <x:f>ROUND(SUMIFS('Model Parameters'!$C$2:$C$46,'Model Parameters'!$A$2:$A$46,"gender",'Model Parameters'!$B$2:$B$46,B10),2)</x:f>
        <x:v>0</x:v>
      </x:c>
      <x:c r="D23" t="str">
        <x:f>IF(C23&gt;0,"Increases",IF(C23&lt;0,"Decreases","Neutral"))</x:f>
        <x:v>Neutral</x:v>
      </x:c>
      <x:c r="E23" s="88" t="str">
        <x:v>Effect relative to the gender reference category.</x:v>
      </x:c>
    </x:row>
    <x:row r="24">
      <x:c r="A24" t="str">
        <x:v>Education</x:v>
      </x:c>
      <x:c r="B24" t="str">
        <x:f>B11</x:f>
        <x:v>Basic Education</x:v>
      </x:c>
      <x:c r="C24" s="80" t="n">
        <x:f>ROUND(SUMIFS('Model Parameters'!$C$2:$C$46,'Model Parameters'!$A$2:$A$46,"education",'Model Parameters'!$B$2:$B$46,B11),2)</x:f>
        <x:v>0</x:v>
      </x:c>
      <x:c r="D24" t="str">
        <x:f>IF(C24&gt;0,"Increases",IF(C24&lt;0,"Decreases","Neutral"))</x:f>
        <x:v>Neutral</x:v>
      </x:c>
      <x:c r="E24" s="88" t="str">
        <x:v>Effect relative to the education reference category.</x:v>
      </x:c>
    </x:row>
    <x:row r="25">
      <x:c r="A25" t="str">
        <x:v>Purchase month</x:v>
      </x:c>
      <x:c r="B25" t="n">
        <x:f>B12</x:f>
        <x:v>1</x:v>
      </x:c>
      <x:c r="C25" s="80" t="n">
        <x:f>ROUND(SUMIFS('Model Parameters'!$C$2:$C$46,'Model Parameters'!$A$2:$A$46,"purchase_month",'Model Parameters'!$B$2:$B$46,TEXT(B12,"0")),2)</x:f>
        <x:v>0</x:v>
      </x:c>
      <x:c r="D25" t="str">
        <x:f>IF(C25&gt;0,"Increases",IF(C25&lt;0,"Decreases","Neutral"))</x:f>
        <x:v>Neutral</x:v>
      </x:c>
      <x:c r="E25" s="88" t="str">
        <x:v>Effect relative to the month reference category.</x:v>
      </x:c>
    </x:row>
    <x:row r="26">
      <x:c r="A26" t="str">
        <x:v>Purchase day</x:v>
      </x:c>
      <x:c r="B26" t="str">
        <x:f>B13</x:f>
        <x:v>Friday</x:v>
      </x:c>
      <x:c r="C26" s="80" t="n">
        <x:f>ROUND(SUMIFS('Model Parameters'!$C$2:$C$46,'Model Parameters'!$A$2:$A$46,"purchase_day_of_week",'Model Parameters'!$B$2:$B$46,B13),2)</x:f>
        <x:v>0</x:v>
      </x:c>
      <x:c r="D26" t="str">
        <x:f>IF(C26&gt;0,"Increases",IF(C26&lt;0,"Decreases","Neutral"))</x:f>
        <x:v>Neutral</x:v>
      </x:c>
      <x:c r="E26" s="88" t="str">
        <x:v>Effect relative to the day-of-week reference category.</x:v>
      </x:c>
    </x:row>
    <x:row r="28">
      <x:c r="A28" t="str">
        <x:v>Sum of contributions</x:v>
      </x:c>
      <x:c r="B28" t="str"/>
      <x:c r="C28" s="60" t="n">
        <x:f>ROUND(SUM(C18:C26),2)</x:f>
        <x:v>2737.07</x:v>
      </x:c>
      <x:c r="D28" t="str">
        <x:v>This should equal the predicted LTV above.</x:v>
      </x:c>
    </x:row>
    <x:row r="30" ht="28" customHeight="1">
      <x:c r="A30" s="84" t="str">
        <x:v>Interpretation note: positive values increase the predicted LTV and negative values reduce it. These effects are associations learned by the model, not proof of causal relationships.</x:v>
      </x:c>
      <x:c r="B30" s="84"/>
      <x:c r="C30" s="84"/>
      <x:c r="D30" s="84"/>
      <x:c r="E30" s="84"/>
      <x:c r="F30" s="84"/>
      <x:c r="G30" s="84"/>
      <x:c r="H30" s="84"/>
    </x:row>
    <x:row r="31" ht="28" customHeight="1">
      <x:c r="A31" s="84"/>
      <x:c r="B31" s="84"/>
      <x:c r="C31" s="84"/>
      <x:c r="D31" s="84"/>
      <x:c r="E31" s="84"/>
      <x:c r="F31" s="84"/>
      <x:c r="G31" s="84"/>
      <x:c r="H31" s="84"/>
    </x:row>
  </x:sheetData>
  <x:mergeCells>
    <x:mergeCell ref="A1:H2"/>
    <x:mergeCell ref="A3:H3"/>
    <x:mergeCell ref="D5:H5"/>
    <x:mergeCell ref="A16:H16"/>
    <x:mergeCell ref="D28:E28"/>
    <x:mergeCell ref="A30:H31"/>
  </x:mergeCells>
  <x:conditionalFormatting sqref="C18:C26">
    <x:cfRule type="cellIs" dxfId="0" priority="1" operator="greaterThan">
      <x:formula>0</x:formula>
    </x:cfRule>
    <x:cfRule type="cellIs" dxfId="1" priority="2" operator="lessThan">
      <x:formula>0</x:formula>
    </x:cfRule>
  </x:conditionalFormatting>
  <x:dataValidations count="7">
    <x:dataValidation type="list" sqref="B7">
      <x:formula1>"No,Yes"</x:formula1>
    </x:dataValidation>
    <x:dataValidation type="list" sqref="B8">
      <x:formula1>"Commercial,Community,Data Analysis,Data Science,Excel,Full Stack JavaScript,Lifetime Access,Other,Power BI,Python"</x:formula1>
    </x:dataValidation>
    <x:dataValidation type="list" sqref="B9">
      <x:formula1>"Checkout,Commercial,Direct Traffic,Launch,Other,Waitlist,Webinar"</x:formula1>
    </x:dataValidation>
    <x:dataValidation type="list" sqref="B10">
      <x:formula1>"Female,Male,Other"</x:formula1>
    </x:dataValidation>
    <x:dataValidation type="list" sqref="B11">
      <x:formula1>"Basic Education,High School,Higher Education - Complete,Higher Education - Incomplete,Higher Education+,Not Reported"</x:formula1>
    </x:dataValidation>
    <x:dataValidation type="list" sqref="B12">
      <x:formula1>"1,2,3,4,5,6,7,8,9,10,11,12"</x:formula1>
    </x:dataValidation>
    <x:dataValidation type="list" sqref="B13">
      <x:formula1>"Friday,Monday,Saturday,Sunday,Thursday,Tuesday,Wednesday"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2" hidden="0" customWidth="1"/>
    <x:col min="6" max="6" width="30" hidden="0" customWidth="1"/>
    <x:col min="7" max="7" width="18" hidden="0" customWidth="1"/>
  </x:cols>
  <x:sheetData>
    <x:row r="1">
      <x:c r="A1" s="20" t="str">
        <x:v>Feature</x:v>
      </x:c>
      <x:c r="B1" s="20" t="str">
        <x:v>Category</x:v>
      </x:c>
      <x:c r="C1" s="20" t="str">
        <x:v>Coefficient</x:v>
      </x:c>
      <x:c r="D1" s="20" t="str">
        <x:v>Note</x:v>
      </x:c>
      <x:c r="F1" s="65" t="str">
        <x:v>Parameter</x:v>
      </x:c>
      <x:c r="G1" s="65" t="str">
        <x:v>Value</x:v>
      </x:c>
    </x:row>
    <x:row r="2">
      <x:c r="A2" t="str">
        <x:v>entry_product</x:v>
      </x:c>
      <x:c r="B2" t="str">
        <x:v>Commercial</x:v>
      </x:c>
      <x:c r="C2" s="62" t="n">
        <x:v>0</x:v>
      </x:c>
      <x:c r="D2" t="str">
        <x:v>Reference category</x:v>
      </x:c>
      <x:c r="F2" t="str">
        <x:v>Intercept</x:v>
      </x:c>
      <x:c r="G2" t="n">
        <x:v>2747.8860654835735</x:v>
      </x:c>
    </x:row>
    <x:row r="3">
      <x:c r="A3" t="str">
        <x:v>entry_product</x:v>
      </x:c>
      <x:c r="B3" t="str">
        <x:v>Community</x:v>
      </x:c>
      <x:c r="C3" s="62" t="n">
        <x:v>-306.13934499170807</x:v>
      </x:c>
      <x:c r="D3" t="str"/>
      <x:c r="F3" t="str">
        <x:v>Mean - first_purchase_value</x:v>
      </x:c>
      <x:c r="G3" t="n">
        <x:v>715.1107747634687</x:v>
      </x:c>
    </x:row>
    <x:row r="4">
      <x:c r="A4" t="str">
        <x:v>entry_product</x:v>
      </x:c>
      <x:c r="B4" t="str">
        <x:v>Data Analysis</x:v>
      </x:c>
      <x:c r="C4" s="62" t="n">
        <x:v>-155.9120117547081</x:v>
      </x:c>
      <x:c r="D4" t="str"/>
      <x:c r="F4" t="str">
        <x:v>Scale - first_purchase_value</x:v>
      </x:c>
      <x:c r="G4" t="n">
        <x:v>665.9064613725793</x:v>
      </x:c>
    </x:row>
    <x:row r="5">
      <x:c r="A5" t="str">
        <x:v>entry_product</x:v>
      </x:c>
      <x:c r="B5" t="str">
        <x:v>Data Science</x:v>
      </x:c>
      <x:c r="C5" s="62" t="n">
        <x:v>91.26021762208455</x:v>
      </x:c>
      <x:c r="D5" t="str"/>
      <x:c r="F5" t="str">
        <x:v>Coefficient - first_purchase_value</x:v>
      </x:c>
      <x:c r="G5" t="n">
        <x:v>1013.2873103571518</x:v>
      </x:c>
    </x:row>
    <x:row r="6">
      <x:c r="A6" t="str">
        <x:v>entry_product</x:v>
      </x:c>
      <x:c r="B6" t="str">
        <x:v>Excel</x:v>
      </x:c>
      <x:c r="C6" s="62" t="n">
        <x:v>-253.36933078605395</x:v>
      </x:c>
      <x:c r="D6" t="str"/>
      <x:c r="F6" t="str">
        <x:v>Coefficient - recurring_first_purchase</x:v>
      </x:c>
      <x:c r="G6" t="n">
        <x:v>-368.7296916216356</x:v>
      </x:c>
    </x:row>
    <x:row r="7">
      <x:c r="A7" t="str">
        <x:v>entry_product</x:v>
      </x:c>
      <x:c r="B7" t="str">
        <x:v>Full Stack JavaScript</x:v>
      </x:c>
      <x:c r="C7" s="62" t="n">
        <x:v>-107.6436041491745</x:v>
      </x:c>
      <x:c r="D7" t="str"/>
      <x:c r="F7" t="str">
        <x:v>Test R²</x:v>
      </x:c>
      <x:c r="G7" t="n">
        <x:v>0.8477576423540136</x:v>
      </x:c>
    </x:row>
    <x:row r="8">
      <x:c r="A8" t="str">
        <x:v>entry_product</x:v>
      </x:c>
      <x:c r="B8" t="str">
        <x:v>Lifetime Access</x:v>
      </x:c>
      <x:c r="C8" s="62" t="n">
        <x:v>354.02343969186836</x:v>
      </x:c>
      <x:c r="D8" t="str"/>
    </x:row>
    <x:row r="9">
      <x:c r="A9" t="str">
        <x:v>entry_product</x:v>
      </x:c>
      <x:c r="B9" t="str">
        <x:v>Other</x:v>
      </x:c>
      <x:c r="C9" s="62" t="n">
        <x:v>-193.3406707514381</x:v>
      </x:c>
      <x:c r="D9" t="str"/>
    </x:row>
    <x:row r="10">
      <x:c r="A10" t="str">
        <x:v>entry_product</x:v>
      </x:c>
      <x:c r="B10" t="str">
        <x:v>Power BI</x:v>
      </x:c>
      <x:c r="C10" s="62" t="n">
        <x:v>36.018635174877765</x:v>
      </x:c>
      <x:c r="D10" t="str"/>
    </x:row>
    <x:row r="11">
      <x:c r="A11" t="str">
        <x:v>entry_product</x:v>
      </x:c>
      <x:c r="B11" t="str">
        <x:v>Python</x:v>
      </x:c>
      <x:c r="C11" s="62" t="n">
        <x:v>-157.04202564378025</x:v>
      </x:c>
      <x:c r="D11" t="str"/>
    </x:row>
    <x:row r="12">
      <x:c r="A12" t="str">
        <x:v>sales_channel</x:v>
      </x:c>
      <x:c r="B12" t="str">
        <x:v>Checkout</x:v>
      </x:c>
      <x:c r="C12" s="62" t="n">
        <x:v>0</x:v>
      </x:c>
      <x:c r="D12" t="str">
        <x:v>Reference category</x:v>
      </x:c>
    </x:row>
    <x:row r="13">
      <x:c r="A13" t="str">
        <x:v>sales_channel</x:v>
      </x:c>
      <x:c r="B13" t="str">
        <x:v>Commercial</x:v>
      </x:c>
      <x:c r="C13" s="62" t="n">
        <x:v>-138.72997200847198</x:v>
      </x:c>
      <x:c r="D13" t="str"/>
    </x:row>
    <x:row r="14">
      <x:c r="A14" t="str">
        <x:v>sales_channel</x:v>
      </x:c>
      <x:c r="B14" t="str">
        <x:v>Direct Traffic</x:v>
      </x:c>
      <x:c r="C14" s="62" t="n">
        <x:v>-528.614588328954</x:v>
      </x:c>
      <x:c r="D14" t="str"/>
    </x:row>
    <x:row r="15">
      <x:c r="A15" t="str">
        <x:v>sales_channel</x:v>
      </x:c>
      <x:c r="B15" t="str">
        <x:v>Launch</x:v>
      </x:c>
      <x:c r="C15" s="62" t="n">
        <x:v>-211.39336687705062</x:v>
      </x:c>
      <x:c r="D15" t="str"/>
    </x:row>
    <x:row r="16">
      <x:c r="A16" t="str">
        <x:v>sales_channel</x:v>
      </x:c>
      <x:c r="B16" t="str">
        <x:v>Other</x:v>
      </x:c>
      <x:c r="C16" s="62" t="n">
        <x:v>-614.4626460042267</x:v>
      </x:c>
      <x:c r="D16" t="str"/>
    </x:row>
    <x:row r="17">
      <x:c r="A17" t="str">
        <x:v>sales_channel</x:v>
      </x:c>
      <x:c r="B17" t="str">
        <x:v>Waitlist</x:v>
      </x:c>
      <x:c r="C17" s="62" t="n">
        <x:v>-412.80729030685717</x:v>
      </x:c>
      <x:c r="D17" t="str"/>
    </x:row>
    <x:row r="18">
      <x:c r="A18" t="str">
        <x:v>sales_channel</x:v>
      </x:c>
      <x:c r="B18" t="str">
        <x:v>Webinar</x:v>
      </x:c>
      <x:c r="C18" s="62" t="n">
        <x:v>-169.99012372592279</x:v>
      </x:c>
      <x:c r="D18" t="str"/>
    </x:row>
    <x:row r="19">
      <x:c r="A19" t="str">
        <x:v>gender</x:v>
      </x:c>
      <x:c r="B19" t="str">
        <x:v>Female</x:v>
      </x:c>
      <x:c r="C19" s="62" t="n">
        <x:v>0</x:v>
      </x:c>
      <x:c r="D19" t="str">
        <x:v>Reference category</x:v>
      </x:c>
    </x:row>
    <x:row r="20">
      <x:c r="A20" t="str">
        <x:v>gender</x:v>
      </x:c>
      <x:c r="B20" t="str">
        <x:v>Male</x:v>
      </x:c>
      <x:c r="C20" s="62" t="n">
        <x:v>9.714148867380832</x:v>
      </x:c>
      <x:c r="D20" t="str"/>
    </x:row>
    <x:row r="21">
      <x:c r="A21" t="str">
        <x:v>gender</x:v>
      </x:c>
      <x:c r="B21" t="str">
        <x:v>Other</x:v>
      </x:c>
      <x:c r="C21" s="62" t="n">
        <x:v>7.747227096851855</x:v>
      </x:c>
      <x:c r="D21" t="str"/>
    </x:row>
    <x:row r="22">
      <x:c r="A22" t="str">
        <x:v>education</x:v>
      </x:c>
      <x:c r="B22" t="str">
        <x:v>Basic Education</x:v>
      </x:c>
      <x:c r="C22" s="62" t="n">
        <x:v>0</x:v>
      </x:c>
      <x:c r="D22" t="str">
        <x:v>Reference category</x:v>
      </x:c>
    </x:row>
    <x:row r="23">
      <x:c r="A23" t="str">
        <x:v>education</x:v>
      </x:c>
      <x:c r="B23" t="str">
        <x:v>High School</x:v>
      </x:c>
      <x:c r="C23" s="62" t="n">
        <x:v>-26.868855007722686</x:v>
      </x:c>
      <x:c r="D23" t="str"/>
    </x:row>
    <x:row r="24">
      <x:c r="A24" t="str">
        <x:v>education</x:v>
      </x:c>
      <x:c r="B24" t="str">
        <x:v>Higher Education - Complete</x:v>
      </x:c>
      <x:c r="C24" s="62" t="n">
        <x:v>-17.382228134447868</x:v>
      </x:c>
      <x:c r="D24" t="str"/>
    </x:row>
    <x:row r="25">
      <x:c r="A25" t="str">
        <x:v>education</x:v>
      </x:c>
      <x:c r="B25" t="str">
        <x:v>Higher Education - Incomplete</x:v>
      </x:c>
      <x:c r="C25" s="62" t="n">
        <x:v>-24.013084058009756</x:v>
      </x:c>
      <x:c r="D25" t="str"/>
    </x:row>
    <x:row r="26">
      <x:c r="A26" t="str">
        <x:v>education</x:v>
      </x:c>
      <x:c r="B26" t="str">
        <x:v>Higher Education+</x:v>
      </x:c>
      <x:c r="C26" s="62" t="n">
        <x:v>-23.84950788554162</x:v>
      </x:c>
      <x:c r="D26" t="str"/>
    </x:row>
    <x:row r="27">
      <x:c r="A27" t="str">
        <x:v>education</x:v>
      </x:c>
      <x:c r="B27" t="str">
        <x:v>Not Reported</x:v>
      </x:c>
      <x:c r="C27" s="62" t="n">
        <x:v>-27.92384865699283</x:v>
      </x:c>
      <x:c r="D27" t="str"/>
    </x:row>
    <x:row r="28">
      <x:c r="A28" t="str">
        <x:v>purchase_month</x:v>
      </x:c>
      <x:c r="B28" t="str">
        <x:v>1</x:v>
      </x:c>
      <x:c r="C28" s="62" t="n">
        <x:v>0</x:v>
      </x:c>
      <x:c r="D28" t="str">
        <x:v>Reference category</x:v>
      </x:c>
    </x:row>
    <x:row r="29">
      <x:c r="A29" t="str">
        <x:v>purchase_month</x:v>
      </x:c>
      <x:c r="B29" t="str">
        <x:v>2</x:v>
      </x:c>
      <x:c r="C29" s="62" t="n">
        <x:v>6.823636153664222</x:v>
      </x:c>
      <x:c r="D29" t="str"/>
    </x:row>
    <x:row r="30">
      <x:c r="A30" t="str">
        <x:v>purchase_month</x:v>
      </x:c>
      <x:c r="B30" t="str">
        <x:v>3</x:v>
      </x:c>
      <x:c r="C30" s="62" t="n">
        <x:v>7.9287154060584735</x:v>
      </x:c>
      <x:c r="D30" t="str"/>
    </x:row>
    <x:row r="31">
      <x:c r="A31" t="str">
        <x:v>purchase_month</x:v>
      </x:c>
      <x:c r="B31" t="str">
        <x:v>4</x:v>
      </x:c>
      <x:c r="C31" s="62" t="n">
        <x:v>11.615456819275723</x:v>
      </x:c>
      <x:c r="D31" t="str"/>
    </x:row>
    <x:row r="32">
      <x:c r="A32" t="str">
        <x:v>purchase_month</x:v>
      </x:c>
      <x:c r="B32" t="str">
        <x:v>5</x:v>
      </x:c>
      <x:c r="C32" s="62" t="n">
        <x:v>-25.72489275593819</x:v>
      </x:c>
      <x:c r="D32" t="str"/>
    </x:row>
    <x:row r="33">
      <x:c r="A33" t="str">
        <x:v>purchase_month</x:v>
      </x:c>
      <x:c r="B33" t="str">
        <x:v>6</x:v>
      </x:c>
      <x:c r="C33" s="62" t="n">
        <x:v>11.264137525624022</x:v>
      </x:c>
      <x:c r="D33" t="str"/>
    </x:row>
    <x:row r="34">
      <x:c r="A34" t="str">
        <x:v>purchase_month</x:v>
      </x:c>
      <x:c r="B34" t="str">
        <x:v>7</x:v>
      </x:c>
      <x:c r="C34" s="62" t="n">
        <x:v>-12.462186386139905</x:v>
      </x:c>
      <x:c r="D34" t="str"/>
    </x:row>
    <x:row r="35">
      <x:c r="A35" t="str">
        <x:v>purchase_month</x:v>
      </x:c>
      <x:c r="B35" t="str">
        <x:v>8</x:v>
      </x:c>
      <x:c r="C35" s="62" t="n">
        <x:v>-28.91453218494131</x:v>
      </x:c>
      <x:c r="D35" t="str"/>
    </x:row>
    <x:row r="36">
      <x:c r="A36" t="str">
        <x:v>purchase_month</x:v>
      </x:c>
      <x:c r="B36" t="str">
        <x:v>9</x:v>
      </x:c>
      <x:c r="C36" s="62" t="n">
        <x:v>23.72690737288671</x:v>
      </x:c>
      <x:c r="D36" t="str"/>
    </x:row>
    <x:row r="37">
      <x:c r="A37" t="str">
        <x:v>purchase_month</x:v>
      </x:c>
      <x:c r="B37" t="str">
        <x:v>10</x:v>
      </x:c>
      <x:c r="C37" s="62" t="n">
        <x:v>12.534944008951202</x:v>
      </x:c>
      <x:c r="D37" t="str"/>
    </x:row>
    <x:row r="38">
      <x:c r="A38" t="str">
        <x:v>purchase_month</x:v>
      </x:c>
      <x:c r="B38" t="str">
        <x:v>11</x:v>
      </x:c>
      <x:c r="C38" s="62" t="n">
        <x:v>22.69886648362883</x:v>
      </x:c>
      <x:c r="D38" t="str"/>
    </x:row>
    <x:row r="39">
      <x:c r="A39" t="str">
        <x:v>purchase_month</x:v>
      </x:c>
      <x:c r="B39" t="str">
        <x:v>12</x:v>
      </x:c>
      <x:c r="C39" s="62" t="n">
        <x:v>13.72426878021508</x:v>
      </x:c>
      <x:c r="D39" t="str"/>
    </x:row>
    <x:row r="40">
      <x:c r="A40" t="str">
        <x:v>purchase_day_of_week</x:v>
      </x:c>
      <x:c r="B40" t="str">
        <x:v>Friday</x:v>
      </x:c>
      <x:c r="C40" s="62" t="n">
        <x:v>0</x:v>
      </x:c>
      <x:c r="D40" t="str">
        <x:v>Reference category</x:v>
      </x:c>
    </x:row>
    <x:row r="41">
      <x:c r="A41" t="str">
        <x:v>purchase_day_of_week</x:v>
      </x:c>
      <x:c r="B41" t="str">
        <x:v>Monday</x:v>
      </x:c>
      <x:c r="C41" s="62" t="n">
        <x:v>-4.071061642523554</x:v>
      </x:c>
      <x:c r="D41" t="str"/>
    </x:row>
    <x:row r="42">
      <x:c r="A42" t="str">
        <x:v>purchase_day_of_week</x:v>
      </x:c>
      <x:c r="B42" t="str">
        <x:v>Saturday</x:v>
      </x:c>
      <x:c r="C42" s="62" t="n">
        <x:v>6.2257800857395</x:v>
      </x:c>
      <x:c r="D42" t="str"/>
    </x:row>
    <x:row r="43">
      <x:c r="A43" t="str">
        <x:v>purchase_day_of_week</x:v>
      </x:c>
      <x:c r="B43" t="str">
        <x:v>Sunday</x:v>
      </x:c>
      <x:c r="C43" s="62" t="n">
        <x:v>2.0766874335308954</x:v>
      </x:c>
      <x:c r="D43" t="str"/>
    </x:row>
    <x:row r="44">
      <x:c r="A44" t="str">
        <x:v>purchase_day_of_week</x:v>
      </x:c>
      <x:c r="B44" t="str">
        <x:v>Thursday</x:v>
      </x:c>
      <x:c r="C44" s="62" t="n">
        <x:v>-12.426676794120015</x:v>
      </x:c>
      <x:c r="D44" t="str"/>
    </x:row>
    <x:row r="45">
      <x:c r="A45" t="str">
        <x:v>purchase_day_of_week</x:v>
      </x:c>
      <x:c r="B45" t="str">
        <x:v>Tuesday</x:v>
      </x:c>
      <x:c r="C45" s="62" t="n">
        <x:v>9.222414228021588</x:v>
      </x:c>
      <x:c r="D45" t="str"/>
    </x:row>
    <x:row r="46">
      <x:c r="A46" t="str">
        <x:v>purchase_day_of_week</x:v>
      </x:c>
      <x:c r="B46" t="str">
        <x:v>Wednesday</x:v>
      </x:c>
      <x:c r="C46" s="62" t="n">
        <x:v>-6.058396875396041</x:v>
      </x:c>
      <x:c r="D46" t="str"/>
    </x:row>
  </x:sheetData>
  <x:pageMargins left="0.7" right="0.7" top="0.75" bottom="0.75" header="0.3" footer="0.3"/>
</x:worksheet>
</file>