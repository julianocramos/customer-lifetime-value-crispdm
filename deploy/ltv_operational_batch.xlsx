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Customers" sheetId="1" state="visible" r:id="rId1"/>
    <sheet name="Model Parameters" sheetId="2" state="visible" r:id="rId2"/>
  </sheets>
  <definedNames>
    <definedName name="_xlnm._FilterDatabase" localSheetId="0" hidden="1">'New Customers'!$A$8:$S$108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[Red]-R$ #,##0.00"/>
    <numFmt numFmtId="165" formatCode="0.0000"/>
    <numFmt numFmtId="166" formatCode="R$ #,##0.00"/>
  </numFmts>
  <fonts count="3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4F81BD"/>
      </patternFill>
    </fill>
    <fill>
      <patternFill patternType="solid">
        <fgColor rgb="00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166" fontId="0" fillId="5" borderId="0" pivotButton="0" quotePrefix="0" xfId="0"/>
    <xf numFmtId="164" fontId="0" fillId="0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NewCustomerScoring" displayName="NewCustomerScoring" ref="A8:S108" headerRowCount="1">
  <autoFilter ref="A8:S108"/>
  <tableColumns count="19">
    <tableColumn id="1" name="Customer ID"/>
    <tableColumn id="2" name="First Purchase Value (R$)"/>
    <tableColumn id="3" name="Recurring?"/>
    <tableColumn id="4" name="Entry Product"/>
    <tableColumn id="5" name="Sales Channel"/>
    <tableColumn id="6" name="Gender"/>
    <tableColumn id="7" name="Education"/>
    <tableColumn id="8" name="Purchase Month"/>
    <tableColumn id="9" name="Purchase Day"/>
    <tableColumn id="10" name="Predicted LTV (R$)"/>
    <tableColumn id="11" name="First Purchase Impact"/>
    <tableColumn id="12" name="Recurrence Impact"/>
    <tableColumn id="13" name="Product Impact"/>
    <tableColumn id="14" name="Channel Impact"/>
    <tableColumn id="15" name="Gender Impact"/>
    <tableColumn id="16" name="Education Impact"/>
    <tableColumn id="17" name="Month Impact"/>
    <tableColumn id="18" name="Day Impact"/>
    <tableColumn id="19" name="Statu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5" customWidth="1" min="1" max="1"/>
    <col width="21" customWidth="1" min="2" max="2"/>
    <col width="14" customWidth="1" min="3" max="3"/>
    <col width="22" customWidth="1" min="4" max="4"/>
    <col width="18" customWidth="1" min="5" max="5"/>
    <col width="14" customWidth="1" min="6" max="6"/>
    <col width="30" customWidth="1" min="7" max="7"/>
    <col width="15" customWidth="1" min="8" max="8"/>
    <col width="18" customWidth="1" min="9" max="9"/>
    <col width="19" customWidth="1" min="10" max="10"/>
    <col width="20" customWidth="1" min="11" max="11"/>
    <col width="18" customWidth="1" min="12" max="12"/>
    <col width="18" customWidth="1" min="13" max="13"/>
    <col width="18" customWidth="1" min="14" max="14"/>
    <col width="16" customWidth="1" min="15" max="15"/>
    <col width="18" customWidth="1" min="16" max="16"/>
    <col width="16" customWidth="1" min="17" max="17"/>
    <col width="16" customWidth="1" min="18" max="18"/>
    <col width="18" customWidth="1" min="19" max="19"/>
  </cols>
  <sheetData>
    <row r="1">
      <c r="A1" s="1" t="inlineStr">
        <is>
          <t>OPERATIONAL LTV SCORING TABLE</t>
        </is>
      </c>
    </row>
    <row r="2"/>
    <row r="3">
      <c r="A3" s="2" t="inlineStr">
        <is>
          <t>Enter first-purchase information in columns A:I. Predicted LTV and feature impacts calculate automatically.</t>
        </is>
      </c>
    </row>
    <row r="5">
      <c r="A5" s="3" t="inlineStr">
        <is>
          <t>Model</t>
        </is>
      </c>
      <c r="B5" s="3" t="inlineStr">
        <is>
          <t>Test R²</t>
        </is>
      </c>
      <c r="C5" s="3" t="inlineStr">
        <is>
          <t>RMSE</t>
        </is>
      </c>
      <c r="D5" s="3" t="inlineStr">
        <is>
          <t>MAE</t>
        </is>
      </c>
    </row>
    <row r="6">
      <c r="A6" t="inlineStr">
        <is>
          <t>Linear Regression</t>
        </is>
      </c>
      <c r="B6" s="4" t="n">
        <v>0.8477576423540136</v>
      </c>
      <c r="C6" s="5" t="n">
        <v>507.7353021589962</v>
      </c>
      <c r="D6" s="5" t="n">
        <v>404.0261679823802</v>
      </c>
    </row>
    <row r="8">
      <c r="A8" s="6" t="inlineStr">
        <is>
          <t>Customer ID</t>
        </is>
      </c>
      <c r="B8" s="6" t="inlineStr">
        <is>
          <t>First Purchase Value (R$)</t>
        </is>
      </c>
      <c r="C8" s="6" t="inlineStr">
        <is>
          <t>Recurring?</t>
        </is>
      </c>
      <c r="D8" s="6" t="inlineStr">
        <is>
          <t>Entry Product</t>
        </is>
      </c>
      <c r="E8" s="6" t="inlineStr">
        <is>
          <t>Sales Channel</t>
        </is>
      </c>
      <c r="F8" s="6" t="inlineStr">
        <is>
          <t>Gender</t>
        </is>
      </c>
      <c r="G8" s="6" t="inlineStr">
        <is>
          <t>Education</t>
        </is>
      </c>
      <c r="H8" s="6" t="inlineStr">
        <is>
          <t>Purchase Month</t>
        </is>
      </c>
      <c r="I8" s="6" t="inlineStr">
        <is>
          <t>Purchase Day</t>
        </is>
      </c>
      <c r="J8" s="6" t="inlineStr">
        <is>
          <t>Predicted LTV (R$)</t>
        </is>
      </c>
      <c r="K8" s="6" t="inlineStr">
        <is>
          <t>First Purchase Impact</t>
        </is>
      </c>
      <c r="L8" s="6" t="inlineStr">
        <is>
          <t>Recurrence Impact</t>
        </is>
      </c>
      <c r="M8" s="6" t="inlineStr">
        <is>
          <t>Product Impact</t>
        </is>
      </c>
      <c r="N8" s="6" t="inlineStr">
        <is>
          <t>Channel Impact</t>
        </is>
      </c>
      <c r="O8" s="6" t="inlineStr">
        <is>
          <t>Gender Impact</t>
        </is>
      </c>
      <c r="P8" s="6" t="inlineStr">
        <is>
          <t>Education Impact</t>
        </is>
      </c>
      <c r="Q8" s="6" t="inlineStr">
        <is>
          <t>Month Impact</t>
        </is>
      </c>
      <c r="R8" s="6" t="inlineStr">
        <is>
          <t>Day Impact</t>
        </is>
      </c>
      <c r="S8" s="6" t="inlineStr">
        <is>
          <t>Status</t>
        </is>
      </c>
    </row>
    <row r="9">
      <c r="A9" s="7" t="inlineStr">
        <is>
          <t>EXAMPLE-001</t>
        </is>
      </c>
      <c r="B9" s="8" t="n">
        <v>997</v>
      </c>
      <c r="C9" s="7" t="inlineStr">
        <is>
          <t>Yes</t>
        </is>
      </c>
      <c r="D9" s="7" t="inlineStr">
        <is>
          <t>Commercial</t>
        </is>
      </c>
      <c r="E9" s="7" t="inlineStr">
        <is>
          <t>Waitlist</t>
        </is>
      </c>
      <c r="F9" s="7" t="inlineStr">
        <is>
          <t>Male</t>
        </is>
      </c>
      <c r="G9" s="7" t="inlineStr">
        <is>
          <t>Higher Education - Complete</t>
        </is>
      </c>
      <c r="H9" s="7" t="n">
        <v>1</v>
      </c>
      <c r="I9" s="7" t="inlineStr">
        <is>
          <t>Tuesday</t>
        </is>
      </c>
      <c r="J9" s="9">
        <f>IF(COUNTA(B9:I9)&lt;8,"",ROUND('Model Parameters'!$G$2+'Model Parameters'!$G$5*((B9-'Model Parameters'!$G$3)/'Model Parameters'!$G$4)+'Model Parameters'!$G$6*IF(C9="Yes",1,0)+SUMIFS('Model Parameters'!$C$2:$C$46,'Model Parameters'!$A$2:$A$46,"entry_product",'Model Parameters'!$B$2:$B$46,D9)+SUMIFS('Model Parameters'!$C$2:$C$46,'Model Parameters'!$A$2:$A$46,"sales_channel",'Model Parameters'!$B$2:$B$46,E9)+SUMIFS('Model Parameters'!$C$2:$C$46,'Model Parameters'!$A$2:$A$46,"gender",'Model Parameters'!$B$2:$B$46,F9)+SUMIFS('Model Parameters'!$C$2:$C$46,'Model Parameters'!$A$2:$A$46,"education",'Model Parameters'!$B$2:$B$46,G9)+SUMIFS('Model Parameters'!$C$2:$C$46,'Model Parameters'!$A$2:$A$46,"purchase_month",'Model Parameters'!$B$2:$B$46,TEXT(H9,"0"))+SUMIFS('Model Parameters'!$C$2:$C$46,'Model Parameters'!$A$2:$A$46,"purchase_day_of_week",'Model Parameters'!$B$2:$B$46,I9),2))</f>
        <v/>
      </c>
      <c r="K9" s="9">
        <f>IF(B9="","",'Model Parameters'!$G$5*((B9-'Model Parameters'!$G$3)/'Model Parameters'!$G$4))</f>
        <v/>
      </c>
      <c r="L9" s="9">
        <f>IF(B9="","",'Model Parameters'!$G$6*IF(C9="Yes",1,0))</f>
        <v/>
      </c>
      <c r="M9" s="9">
        <f>IF(B9="","",SUMIFS('Model Parameters'!$C$2:$C$46,'Model Parameters'!$A$2:$A$46,"entry_product",'Model Parameters'!$B$2:$B$46,D9))</f>
        <v/>
      </c>
      <c r="N9" s="9">
        <f>IF(B9="","",SUMIFS('Model Parameters'!$C$2:$C$46,'Model Parameters'!$A$2:$A$46,"sales_channel",'Model Parameters'!$B$2:$B$46,E9))</f>
        <v/>
      </c>
      <c r="O9" s="9">
        <f>IF(B9="","",SUMIFS('Model Parameters'!$C$2:$C$46,'Model Parameters'!$A$2:$A$46,"gender",'Model Parameters'!$B$2:$B$46,F9))</f>
        <v/>
      </c>
      <c r="P9" s="9">
        <f>IF(B9="","",SUMIFS('Model Parameters'!$C$2:$C$46,'Model Parameters'!$A$2:$A$46,"education",'Model Parameters'!$B$2:$B$46,G9))</f>
        <v/>
      </c>
      <c r="Q9" s="9">
        <f>IF(B9="","",SUMIFS('Model Parameters'!$C$2:$C$46,'Model Parameters'!$A$2:$A$46,"purchase_month",'Model Parameters'!$B$2:$B$46,TEXT(H9,"0")))</f>
        <v/>
      </c>
      <c r="R9" s="9">
        <f>IF(B9="","",SUMIFS('Model Parameters'!$C$2:$C$46,'Model Parameters'!$A$2:$A$46,"purchase_day_of_week",'Model Parameters'!$B$2:$B$46,I9))</f>
        <v/>
      </c>
      <c r="S9">
        <f>IF(COUNTA(B9:I9)=0,"Waiting for input",IF(COUNTA(B9:I9)&lt;8,"Incomplete","Calculated"))</f>
        <v/>
      </c>
    </row>
    <row r="10">
      <c r="A10" s="7" t="inlineStr">
        <is>
          <t>CUST-002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9">
        <f>IF(COUNTA(B10:I10)&lt;8,"",ROUND('Model Parameters'!$G$2+'Model Parameters'!$G$5*((B10-'Model Parameters'!$G$3)/'Model Parameters'!$G$4)+'Model Parameters'!$G$6*IF(C10="Yes",1,0)+SUMIFS('Model Parameters'!$C$2:$C$46,'Model Parameters'!$A$2:$A$46,"entry_product",'Model Parameters'!$B$2:$B$46,D10)+SUMIFS('Model Parameters'!$C$2:$C$46,'Model Parameters'!$A$2:$A$46,"sales_channel",'Model Parameters'!$B$2:$B$46,E10)+SUMIFS('Model Parameters'!$C$2:$C$46,'Model Parameters'!$A$2:$A$46,"gender",'Model Parameters'!$B$2:$B$46,F10)+SUMIFS('Model Parameters'!$C$2:$C$46,'Model Parameters'!$A$2:$A$46,"education",'Model Parameters'!$B$2:$B$46,G10)+SUMIFS('Model Parameters'!$C$2:$C$46,'Model Parameters'!$A$2:$A$46,"purchase_month",'Model Parameters'!$B$2:$B$46,TEXT(H10,"0"))+SUMIFS('Model Parameters'!$C$2:$C$46,'Model Parameters'!$A$2:$A$46,"purchase_day_of_week",'Model Parameters'!$B$2:$B$46,I10),2))</f>
        <v/>
      </c>
      <c r="K10" s="9">
        <f>IF(B10="","",'Model Parameters'!$G$5*((B10-'Model Parameters'!$G$3)/'Model Parameters'!$G$4))</f>
        <v/>
      </c>
      <c r="L10" s="9">
        <f>IF(B10="","",'Model Parameters'!$G$6*IF(C10="Yes",1,0))</f>
        <v/>
      </c>
      <c r="M10" s="9">
        <f>IF(B10="","",SUMIFS('Model Parameters'!$C$2:$C$46,'Model Parameters'!$A$2:$A$46,"entry_product",'Model Parameters'!$B$2:$B$46,D10))</f>
        <v/>
      </c>
      <c r="N10" s="9">
        <f>IF(B10="","",SUMIFS('Model Parameters'!$C$2:$C$46,'Model Parameters'!$A$2:$A$46,"sales_channel",'Model Parameters'!$B$2:$B$46,E10))</f>
        <v/>
      </c>
      <c r="O10" s="9">
        <f>IF(B10="","",SUMIFS('Model Parameters'!$C$2:$C$46,'Model Parameters'!$A$2:$A$46,"gender",'Model Parameters'!$B$2:$B$46,F10))</f>
        <v/>
      </c>
      <c r="P10" s="9">
        <f>IF(B10="","",SUMIFS('Model Parameters'!$C$2:$C$46,'Model Parameters'!$A$2:$A$46,"education",'Model Parameters'!$B$2:$B$46,G10))</f>
        <v/>
      </c>
      <c r="Q10" s="9">
        <f>IF(B10="","",SUMIFS('Model Parameters'!$C$2:$C$46,'Model Parameters'!$A$2:$A$46,"purchase_month",'Model Parameters'!$B$2:$B$46,TEXT(H10,"0")))</f>
        <v/>
      </c>
      <c r="R10" s="9">
        <f>IF(B10="","",SUMIFS('Model Parameters'!$C$2:$C$46,'Model Parameters'!$A$2:$A$46,"purchase_day_of_week",'Model Parameters'!$B$2:$B$46,I10))</f>
        <v/>
      </c>
      <c r="S10">
        <f>IF(COUNTA(B10:I10)=0,"Waiting for input",IF(COUNTA(B10:I10)&lt;8,"Incomplete","Calculated"))</f>
        <v/>
      </c>
    </row>
    <row r="11">
      <c r="A11" s="7" t="inlineStr">
        <is>
          <t>CUST-003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9">
        <f>IF(COUNTA(B11:I11)&lt;8,"",ROUND('Model Parameters'!$G$2+'Model Parameters'!$G$5*((B11-'Model Parameters'!$G$3)/'Model Parameters'!$G$4)+'Model Parameters'!$G$6*IF(C11="Yes",1,0)+SUMIFS('Model Parameters'!$C$2:$C$46,'Model Parameters'!$A$2:$A$46,"entry_product",'Model Parameters'!$B$2:$B$46,D11)+SUMIFS('Model Parameters'!$C$2:$C$46,'Model Parameters'!$A$2:$A$46,"sales_channel",'Model Parameters'!$B$2:$B$46,E11)+SUMIFS('Model Parameters'!$C$2:$C$46,'Model Parameters'!$A$2:$A$46,"gender",'Model Parameters'!$B$2:$B$46,F11)+SUMIFS('Model Parameters'!$C$2:$C$46,'Model Parameters'!$A$2:$A$46,"education",'Model Parameters'!$B$2:$B$46,G11)+SUMIFS('Model Parameters'!$C$2:$C$46,'Model Parameters'!$A$2:$A$46,"purchase_month",'Model Parameters'!$B$2:$B$46,TEXT(H11,"0"))+SUMIFS('Model Parameters'!$C$2:$C$46,'Model Parameters'!$A$2:$A$46,"purchase_day_of_week",'Model Parameters'!$B$2:$B$46,I11),2))</f>
        <v/>
      </c>
      <c r="K11" s="9">
        <f>IF(B11="","",'Model Parameters'!$G$5*((B11-'Model Parameters'!$G$3)/'Model Parameters'!$G$4))</f>
        <v/>
      </c>
      <c r="L11" s="9">
        <f>IF(B11="","",'Model Parameters'!$G$6*IF(C11="Yes",1,0))</f>
        <v/>
      </c>
      <c r="M11" s="9">
        <f>IF(B11="","",SUMIFS('Model Parameters'!$C$2:$C$46,'Model Parameters'!$A$2:$A$46,"entry_product",'Model Parameters'!$B$2:$B$46,D11))</f>
        <v/>
      </c>
      <c r="N11" s="9">
        <f>IF(B11="","",SUMIFS('Model Parameters'!$C$2:$C$46,'Model Parameters'!$A$2:$A$46,"sales_channel",'Model Parameters'!$B$2:$B$46,E11))</f>
        <v/>
      </c>
      <c r="O11" s="9">
        <f>IF(B11="","",SUMIFS('Model Parameters'!$C$2:$C$46,'Model Parameters'!$A$2:$A$46,"gender",'Model Parameters'!$B$2:$B$46,F11))</f>
        <v/>
      </c>
      <c r="P11" s="9">
        <f>IF(B11="","",SUMIFS('Model Parameters'!$C$2:$C$46,'Model Parameters'!$A$2:$A$46,"education",'Model Parameters'!$B$2:$B$46,G11))</f>
        <v/>
      </c>
      <c r="Q11" s="9">
        <f>IF(B11="","",SUMIFS('Model Parameters'!$C$2:$C$46,'Model Parameters'!$A$2:$A$46,"purchase_month",'Model Parameters'!$B$2:$B$46,TEXT(H11,"0")))</f>
        <v/>
      </c>
      <c r="R11" s="9">
        <f>IF(B11="","",SUMIFS('Model Parameters'!$C$2:$C$46,'Model Parameters'!$A$2:$A$46,"purchase_day_of_week",'Model Parameters'!$B$2:$B$46,I11))</f>
        <v/>
      </c>
      <c r="S11">
        <f>IF(COUNTA(B11:I11)=0,"Waiting for input",IF(COUNTA(B11:I11)&lt;8,"Incomplete","Calculated"))</f>
        <v/>
      </c>
    </row>
    <row r="12">
      <c r="A12" s="7" t="inlineStr">
        <is>
          <t>CUST-004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9">
        <f>IF(COUNTA(B12:I12)&lt;8,"",ROUND('Model Parameters'!$G$2+'Model Parameters'!$G$5*((B12-'Model Parameters'!$G$3)/'Model Parameters'!$G$4)+'Model Parameters'!$G$6*IF(C12="Yes",1,0)+SUMIFS('Model Parameters'!$C$2:$C$46,'Model Parameters'!$A$2:$A$46,"entry_product",'Model Parameters'!$B$2:$B$46,D12)+SUMIFS('Model Parameters'!$C$2:$C$46,'Model Parameters'!$A$2:$A$46,"sales_channel",'Model Parameters'!$B$2:$B$46,E12)+SUMIFS('Model Parameters'!$C$2:$C$46,'Model Parameters'!$A$2:$A$46,"gender",'Model Parameters'!$B$2:$B$46,F12)+SUMIFS('Model Parameters'!$C$2:$C$46,'Model Parameters'!$A$2:$A$46,"education",'Model Parameters'!$B$2:$B$46,G12)+SUMIFS('Model Parameters'!$C$2:$C$46,'Model Parameters'!$A$2:$A$46,"purchase_month",'Model Parameters'!$B$2:$B$46,TEXT(H12,"0"))+SUMIFS('Model Parameters'!$C$2:$C$46,'Model Parameters'!$A$2:$A$46,"purchase_day_of_week",'Model Parameters'!$B$2:$B$46,I12),2))</f>
        <v/>
      </c>
      <c r="K12" s="9">
        <f>IF(B12="","",'Model Parameters'!$G$5*((B12-'Model Parameters'!$G$3)/'Model Parameters'!$G$4))</f>
        <v/>
      </c>
      <c r="L12" s="9">
        <f>IF(B12="","",'Model Parameters'!$G$6*IF(C12="Yes",1,0))</f>
        <v/>
      </c>
      <c r="M12" s="9">
        <f>IF(B12="","",SUMIFS('Model Parameters'!$C$2:$C$46,'Model Parameters'!$A$2:$A$46,"entry_product",'Model Parameters'!$B$2:$B$46,D12))</f>
        <v/>
      </c>
      <c r="N12" s="9">
        <f>IF(B12="","",SUMIFS('Model Parameters'!$C$2:$C$46,'Model Parameters'!$A$2:$A$46,"sales_channel",'Model Parameters'!$B$2:$B$46,E12))</f>
        <v/>
      </c>
      <c r="O12" s="9">
        <f>IF(B12="","",SUMIFS('Model Parameters'!$C$2:$C$46,'Model Parameters'!$A$2:$A$46,"gender",'Model Parameters'!$B$2:$B$46,F12))</f>
        <v/>
      </c>
      <c r="P12" s="9">
        <f>IF(B12="","",SUMIFS('Model Parameters'!$C$2:$C$46,'Model Parameters'!$A$2:$A$46,"education",'Model Parameters'!$B$2:$B$46,G12))</f>
        <v/>
      </c>
      <c r="Q12" s="9">
        <f>IF(B12="","",SUMIFS('Model Parameters'!$C$2:$C$46,'Model Parameters'!$A$2:$A$46,"purchase_month",'Model Parameters'!$B$2:$B$46,TEXT(H12,"0")))</f>
        <v/>
      </c>
      <c r="R12" s="9">
        <f>IF(B12="","",SUMIFS('Model Parameters'!$C$2:$C$46,'Model Parameters'!$A$2:$A$46,"purchase_day_of_week",'Model Parameters'!$B$2:$B$46,I12))</f>
        <v/>
      </c>
      <c r="S12">
        <f>IF(COUNTA(B12:I12)=0,"Waiting for input",IF(COUNTA(B12:I12)&lt;8,"Incomplete","Calculated"))</f>
        <v/>
      </c>
    </row>
    <row r="13">
      <c r="A13" s="7" t="inlineStr">
        <is>
          <t>CUST-005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9">
        <f>IF(COUNTA(B13:I13)&lt;8,"",ROUND('Model Parameters'!$G$2+'Model Parameters'!$G$5*((B13-'Model Parameters'!$G$3)/'Model Parameters'!$G$4)+'Model Parameters'!$G$6*IF(C13="Yes",1,0)+SUMIFS('Model Parameters'!$C$2:$C$46,'Model Parameters'!$A$2:$A$46,"entry_product",'Model Parameters'!$B$2:$B$46,D13)+SUMIFS('Model Parameters'!$C$2:$C$46,'Model Parameters'!$A$2:$A$46,"sales_channel",'Model Parameters'!$B$2:$B$46,E13)+SUMIFS('Model Parameters'!$C$2:$C$46,'Model Parameters'!$A$2:$A$46,"gender",'Model Parameters'!$B$2:$B$46,F13)+SUMIFS('Model Parameters'!$C$2:$C$46,'Model Parameters'!$A$2:$A$46,"education",'Model Parameters'!$B$2:$B$46,G13)+SUMIFS('Model Parameters'!$C$2:$C$46,'Model Parameters'!$A$2:$A$46,"purchase_month",'Model Parameters'!$B$2:$B$46,TEXT(H13,"0"))+SUMIFS('Model Parameters'!$C$2:$C$46,'Model Parameters'!$A$2:$A$46,"purchase_day_of_week",'Model Parameters'!$B$2:$B$46,I13),2))</f>
        <v/>
      </c>
      <c r="K13" s="9">
        <f>IF(B13="","",'Model Parameters'!$G$5*((B13-'Model Parameters'!$G$3)/'Model Parameters'!$G$4))</f>
        <v/>
      </c>
      <c r="L13" s="9">
        <f>IF(B13="","",'Model Parameters'!$G$6*IF(C13="Yes",1,0))</f>
        <v/>
      </c>
      <c r="M13" s="9">
        <f>IF(B13="","",SUMIFS('Model Parameters'!$C$2:$C$46,'Model Parameters'!$A$2:$A$46,"entry_product",'Model Parameters'!$B$2:$B$46,D13))</f>
        <v/>
      </c>
      <c r="N13" s="9">
        <f>IF(B13="","",SUMIFS('Model Parameters'!$C$2:$C$46,'Model Parameters'!$A$2:$A$46,"sales_channel",'Model Parameters'!$B$2:$B$46,E13))</f>
        <v/>
      </c>
      <c r="O13" s="9">
        <f>IF(B13="","",SUMIFS('Model Parameters'!$C$2:$C$46,'Model Parameters'!$A$2:$A$46,"gender",'Model Parameters'!$B$2:$B$46,F13))</f>
        <v/>
      </c>
      <c r="P13" s="9">
        <f>IF(B13="","",SUMIFS('Model Parameters'!$C$2:$C$46,'Model Parameters'!$A$2:$A$46,"education",'Model Parameters'!$B$2:$B$46,G13))</f>
        <v/>
      </c>
      <c r="Q13" s="9">
        <f>IF(B13="","",SUMIFS('Model Parameters'!$C$2:$C$46,'Model Parameters'!$A$2:$A$46,"purchase_month",'Model Parameters'!$B$2:$B$46,TEXT(H13,"0")))</f>
        <v/>
      </c>
      <c r="R13" s="9">
        <f>IF(B13="","",SUMIFS('Model Parameters'!$C$2:$C$46,'Model Parameters'!$A$2:$A$46,"purchase_day_of_week",'Model Parameters'!$B$2:$B$46,I13))</f>
        <v/>
      </c>
      <c r="S13">
        <f>IF(COUNTA(B13:I13)=0,"Waiting for input",IF(COUNTA(B13:I13)&lt;8,"Incomplete","Calculated"))</f>
        <v/>
      </c>
    </row>
    <row r="14">
      <c r="A14" s="7" t="inlineStr">
        <is>
          <t>CUST-006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9">
        <f>IF(COUNTA(B14:I14)&lt;8,"",ROUND('Model Parameters'!$G$2+'Model Parameters'!$G$5*((B14-'Model Parameters'!$G$3)/'Model Parameters'!$G$4)+'Model Parameters'!$G$6*IF(C14="Yes",1,0)+SUMIFS('Model Parameters'!$C$2:$C$46,'Model Parameters'!$A$2:$A$46,"entry_product",'Model Parameters'!$B$2:$B$46,D14)+SUMIFS('Model Parameters'!$C$2:$C$46,'Model Parameters'!$A$2:$A$46,"sales_channel",'Model Parameters'!$B$2:$B$46,E14)+SUMIFS('Model Parameters'!$C$2:$C$46,'Model Parameters'!$A$2:$A$46,"gender",'Model Parameters'!$B$2:$B$46,F14)+SUMIFS('Model Parameters'!$C$2:$C$46,'Model Parameters'!$A$2:$A$46,"education",'Model Parameters'!$B$2:$B$46,G14)+SUMIFS('Model Parameters'!$C$2:$C$46,'Model Parameters'!$A$2:$A$46,"purchase_month",'Model Parameters'!$B$2:$B$46,TEXT(H14,"0"))+SUMIFS('Model Parameters'!$C$2:$C$46,'Model Parameters'!$A$2:$A$46,"purchase_day_of_week",'Model Parameters'!$B$2:$B$46,I14),2))</f>
        <v/>
      </c>
      <c r="K14" s="9">
        <f>IF(B14="","",'Model Parameters'!$G$5*((B14-'Model Parameters'!$G$3)/'Model Parameters'!$G$4))</f>
        <v/>
      </c>
      <c r="L14" s="9">
        <f>IF(B14="","",'Model Parameters'!$G$6*IF(C14="Yes",1,0))</f>
        <v/>
      </c>
      <c r="M14" s="9">
        <f>IF(B14="","",SUMIFS('Model Parameters'!$C$2:$C$46,'Model Parameters'!$A$2:$A$46,"entry_product",'Model Parameters'!$B$2:$B$46,D14))</f>
        <v/>
      </c>
      <c r="N14" s="9">
        <f>IF(B14="","",SUMIFS('Model Parameters'!$C$2:$C$46,'Model Parameters'!$A$2:$A$46,"sales_channel",'Model Parameters'!$B$2:$B$46,E14))</f>
        <v/>
      </c>
      <c r="O14" s="9">
        <f>IF(B14="","",SUMIFS('Model Parameters'!$C$2:$C$46,'Model Parameters'!$A$2:$A$46,"gender",'Model Parameters'!$B$2:$B$46,F14))</f>
        <v/>
      </c>
      <c r="P14" s="9">
        <f>IF(B14="","",SUMIFS('Model Parameters'!$C$2:$C$46,'Model Parameters'!$A$2:$A$46,"education",'Model Parameters'!$B$2:$B$46,G14))</f>
        <v/>
      </c>
      <c r="Q14" s="9">
        <f>IF(B14="","",SUMIFS('Model Parameters'!$C$2:$C$46,'Model Parameters'!$A$2:$A$46,"purchase_month",'Model Parameters'!$B$2:$B$46,TEXT(H14,"0")))</f>
        <v/>
      </c>
      <c r="R14" s="9">
        <f>IF(B14="","",SUMIFS('Model Parameters'!$C$2:$C$46,'Model Parameters'!$A$2:$A$46,"purchase_day_of_week",'Model Parameters'!$B$2:$B$46,I14))</f>
        <v/>
      </c>
      <c r="S14">
        <f>IF(COUNTA(B14:I14)=0,"Waiting for input",IF(COUNTA(B14:I14)&lt;8,"Incomplete","Calculated"))</f>
        <v/>
      </c>
    </row>
    <row r="15">
      <c r="A15" s="7" t="inlineStr">
        <is>
          <t>CUST-007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9">
        <f>IF(COUNTA(B15:I15)&lt;8,"",ROUND('Model Parameters'!$G$2+'Model Parameters'!$G$5*((B15-'Model Parameters'!$G$3)/'Model Parameters'!$G$4)+'Model Parameters'!$G$6*IF(C15="Yes",1,0)+SUMIFS('Model Parameters'!$C$2:$C$46,'Model Parameters'!$A$2:$A$46,"entry_product",'Model Parameters'!$B$2:$B$46,D15)+SUMIFS('Model Parameters'!$C$2:$C$46,'Model Parameters'!$A$2:$A$46,"sales_channel",'Model Parameters'!$B$2:$B$46,E15)+SUMIFS('Model Parameters'!$C$2:$C$46,'Model Parameters'!$A$2:$A$46,"gender",'Model Parameters'!$B$2:$B$46,F15)+SUMIFS('Model Parameters'!$C$2:$C$46,'Model Parameters'!$A$2:$A$46,"education",'Model Parameters'!$B$2:$B$46,G15)+SUMIFS('Model Parameters'!$C$2:$C$46,'Model Parameters'!$A$2:$A$46,"purchase_month",'Model Parameters'!$B$2:$B$46,TEXT(H15,"0"))+SUMIFS('Model Parameters'!$C$2:$C$46,'Model Parameters'!$A$2:$A$46,"purchase_day_of_week",'Model Parameters'!$B$2:$B$46,I15),2))</f>
        <v/>
      </c>
      <c r="K15" s="9">
        <f>IF(B15="","",'Model Parameters'!$G$5*((B15-'Model Parameters'!$G$3)/'Model Parameters'!$G$4))</f>
        <v/>
      </c>
      <c r="L15" s="9">
        <f>IF(B15="","",'Model Parameters'!$G$6*IF(C15="Yes",1,0))</f>
        <v/>
      </c>
      <c r="M15" s="9">
        <f>IF(B15="","",SUMIFS('Model Parameters'!$C$2:$C$46,'Model Parameters'!$A$2:$A$46,"entry_product",'Model Parameters'!$B$2:$B$46,D15))</f>
        <v/>
      </c>
      <c r="N15" s="9">
        <f>IF(B15="","",SUMIFS('Model Parameters'!$C$2:$C$46,'Model Parameters'!$A$2:$A$46,"sales_channel",'Model Parameters'!$B$2:$B$46,E15))</f>
        <v/>
      </c>
      <c r="O15" s="9">
        <f>IF(B15="","",SUMIFS('Model Parameters'!$C$2:$C$46,'Model Parameters'!$A$2:$A$46,"gender",'Model Parameters'!$B$2:$B$46,F15))</f>
        <v/>
      </c>
      <c r="P15" s="9">
        <f>IF(B15="","",SUMIFS('Model Parameters'!$C$2:$C$46,'Model Parameters'!$A$2:$A$46,"education",'Model Parameters'!$B$2:$B$46,G15))</f>
        <v/>
      </c>
      <c r="Q15" s="9">
        <f>IF(B15="","",SUMIFS('Model Parameters'!$C$2:$C$46,'Model Parameters'!$A$2:$A$46,"purchase_month",'Model Parameters'!$B$2:$B$46,TEXT(H15,"0")))</f>
        <v/>
      </c>
      <c r="R15" s="9">
        <f>IF(B15="","",SUMIFS('Model Parameters'!$C$2:$C$46,'Model Parameters'!$A$2:$A$46,"purchase_day_of_week",'Model Parameters'!$B$2:$B$46,I15))</f>
        <v/>
      </c>
      <c r="S15">
        <f>IF(COUNTA(B15:I15)=0,"Waiting for input",IF(COUNTA(B15:I15)&lt;8,"Incomplete","Calculated"))</f>
        <v/>
      </c>
    </row>
    <row r="16">
      <c r="A16" s="7" t="inlineStr">
        <is>
          <t>CUST-008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9">
        <f>IF(COUNTA(B16:I16)&lt;8,"",ROUND('Model Parameters'!$G$2+'Model Parameters'!$G$5*((B16-'Model Parameters'!$G$3)/'Model Parameters'!$G$4)+'Model Parameters'!$G$6*IF(C16="Yes",1,0)+SUMIFS('Model Parameters'!$C$2:$C$46,'Model Parameters'!$A$2:$A$46,"entry_product",'Model Parameters'!$B$2:$B$46,D16)+SUMIFS('Model Parameters'!$C$2:$C$46,'Model Parameters'!$A$2:$A$46,"sales_channel",'Model Parameters'!$B$2:$B$46,E16)+SUMIFS('Model Parameters'!$C$2:$C$46,'Model Parameters'!$A$2:$A$46,"gender",'Model Parameters'!$B$2:$B$46,F16)+SUMIFS('Model Parameters'!$C$2:$C$46,'Model Parameters'!$A$2:$A$46,"education",'Model Parameters'!$B$2:$B$46,G16)+SUMIFS('Model Parameters'!$C$2:$C$46,'Model Parameters'!$A$2:$A$46,"purchase_month",'Model Parameters'!$B$2:$B$46,TEXT(H16,"0"))+SUMIFS('Model Parameters'!$C$2:$C$46,'Model Parameters'!$A$2:$A$46,"purchase_day_of_week",'Model Parameters'!$B$2:$B$46,I16),2))</f>
        <v/>
      </c>
      <c r="K16" s="9">
        <f>IF(B16="","",'Model Parameters'!$G$5*((B16-'Model Parameters'!$G$3)/'Model Parameters'!$G$4))</f>
        <v/>
      </c>
      <c r="L16" s="9">
        <f>IF(B16="","",'Model Parameters'!$G$6*IF(C16="Yes",1,0))</f>
        <v/>
      </c>
      <c r="M16" s="9">
        <f>IF(B16="","",SUMIFS('Model Parameters'!$C$2:$C$46,'Model Parameters'!$A$2:$A$46,"entry_product",'Model Parameters'!$B$2:$B$46,D16))</f>
        <v/>
      </c>
      <c r="N16" s="9">
        <f>IF(B16="","",SUMIFS('Model Parameters'!$C$2:$C$46,'Model Parameters'!$A$2:$A$46,"sales_channel",'Model Parameters'!$B$2:$B$46,E16))</f>
        <v/>
      </c>
      <c r="O16" s="9">
        <f>IF(B16="","",SUMIFS('Model Parameters'!$C$2:$C$46,'Model Parameters'!$A$2:$A$46,"gender",'Model Parameters'!$B$2:$B$46,F16))</f>
        <v/>
      </c>
      <c r="P16" s="9">
        <f>IF(B16="","",SUMIFS('Model Parameters'!$C$2:$C$46,'Model Parameters'!$A$2:$A$46,"education",'Model Parameters'!$B$2:$B$46,G16))</f>
        <v/>
      </c>
      <c r="Q16" s="9">
        <f>IF(B16="","",SUMIFS('Model Parameters'!$C$2:$C$46,'Model Parameters'!$A$2:$A$46,"purchase_month",'Model Parameters'!$B$2:$B$46,TEXT(H16,"0")))</f>
        <v/>
      </c>
      <c r="R16" s="9">
        <f>IF(B16="","",SUMIFS('Model Parameters'!$C$2:$C$46,'Model Parameters'!$A$2:$A$46,"purchase_day_of_week",'Model Parameters'!$B$2:$B$46,I16))</f>
        <v/>
      </c>
      <c r="S16">
        <f>IF(COUNTA(B16:I16)=0,"Waiting for input",IF(COUNTA(B16:I16)&lt;8,"Incomplete","Calculated"))</f>
        <v/>
      </c>
    </row>
    <row r="17">
      <c r="A17" s="7" t="inlineStr">
        <is>
          <t>CUST-009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9">
        <f>IF(COUNTA(B17:I17)&lt;8,"",ROUND('Model Parameters'!$G$2+'Model Parameters'!$G$5*((B17-'Model Parameters'!$G$3)/'Model Parameters'!$G$4)+'Model Parameters'!$G$6*IF(C17="Yes",1,0)+SUMIFS('Model Parameters'!$C$2:$C$46,'Model Parameters'!$A$2:$A$46,"entry_product",'Model Parameters'!$B$2:$B$46,D17)+SUMIFS('Model Parameters'!$C$2:$C$46,'Model Parameters'!$A$2:$A$46,"sales_channel",'Model Parameters'!$B$2:$B$46,E17)+SUMIFS('Model Parameters'!$C$2:$C$46,'Model Parameters'!$A$2:$A$46,"gender",'Model Parameters'!$B$2:$B$46,F17)+SUMIFS('Model Parameters'!$C$2:$C$46,'Model Parameters'!$A$2:$A$46,"education",'Model Parameters'!$B$2:$B$46,G17)+SUMIFS('Model Parameters'!$C$2:$C$46,'Model Parameters'!$A$2:$A$46,"purchase_month",'Model Parameters'!$B$2:$B$46,TEXT(H17,"0"))+SUMIFS('Model Parameters'!$C$2:$C$46,'Model Parameters'!$A$2:$A$46,"purchase_day_of_week",'Model Parameters'!$B$2:$B$46,I17),2))</f>
        <v/>
      </c>
      <c r="K17" s="9">
        <f>IF(B17="","",'Model Parameters'!$G$5*((B17-'Model Parameters'!$G$3)/'Model Parameters'!$G$4))</f>
        <v/>
      </c>
      <c r="L17" s="9">
        <f>IF(B17="","",'Model Parameters'!$G$6*IF(C17="Yes",1,0))</f>
        <v/>
      </c>
      <c r="M17" s="9">
        <f>IF(B17="","",SUMIFS('Model Parameters'!$C$2:$C$46,'Model Parameters'!$A$2:$A$46,"entry_product",'Model Parameters'!$B$2:$B$46,D17))</f>
        <v/>
      </c>
      <c r="N17" s="9">
        <f>IF(B17="","",SUMIFS('Model Parameters'!$C$2:$C$46,'Model Parameters'!$A$2:$A$46,"sales_channel",'Model Parameters'!$B$2:$B$46,E17))</f>
        <v/>
      </c>
      <c r="O17" s="9">
        <f>IF(B17="","",SUMIFS('Model Parameters'!$C$2:$C$46,'Model Parameters'!$A$2:$A$46,"gender",'Model Parameters'!$B$2:$B$46,F17))</f>
        <v/>
      </c>
      <c r="P17" s="9">
        <f>IF(B17="","",SUMIFS('Model Parameters'!$C$2:$C$46,'Model Parameters'!$A$2:$A$46,"education",'Model Parameters'!$B$2:$B$46,G17))</f>
        <v/>
      </c>
      <c r="Q17" s="9">
        <f>IF(B17="","",SUMIFS('Model Parameters'!$C$2:$C$46,'Model Parameters'!$A$2:$A$46,"purchase_month",'Model Parameters'!$B$2:$B$46,TEXT(H17,"0")))</f>
        <v/>
      </c>
      <c r="R17" s="9">
        <f>IF(B17="","",SUMIFS('Model Parameters'!$C$2:$C$46,'Model Parameters'!$A$2:$A$46,"purchase_day_of_week",'Model Parameters'!$B$2:$B$46,I17))</f>
        <v/>
      </c>
      <c r="S17">
        <f>IF(COUNTA(B17:I17)=0,"Waiting for input",IF(COUNTA(B17:I17)&lt;8,"Incomplete","Calculated"))</f>
        <v/>
      </c>
    </row>
    <row r="18">
      <c r="A18" s="7" t="inlineStr">
        <is>
          <t>CUST-010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9">
        <f>IF(COUNTA(B18:I18)&lt;8,"",ROUND('Model Parameters'!$G$2+'Model Parameters'!$G$5*((B18-'Model Parameters'!$G$3)/'Model Parameters'!$G$4)+'Model Parameters'!$G$6*IF(C18="Yes",1,0)+SUMIFS('Model Parameters'!$C$2:$C$46,'Model Parameters'!$A$2:$A$46,"entry_product",'Model Parameters'!$B$2:$B$46,D18)+SUMIFS('Model Parameters'!$C$2:$C$46,'Model Parameters'!$A$2:$A$46,"sales_channel",'Model Parameters'!$B$2:$B$46,E18)+SUMIFS('Model Parameters'!$C$2:$C$46,'Model Parameters'!$A$2:$A$46,"gender",'Model Parameters'!$B$2:$B$46,F18)+SUMIFS('Model Parameters'!$C$2:$C$46,'Model Parameters'!$A$2:$A$46,"education",'Model Parameters'!$B$2:$B$46,G18)+SUMIFS('Model Parameters'!$C$2:$C$46,'Model Parameters'!$A$2:$A$46,"purchase_month",'Model Parameters'!$B$2:$B$46,TEXT(H18,"0"))+SUMIFS('Model Parameters'!$C$2:$C$46,'Model Parameters'!$A$2:$A$46,"purchase_day_of_week",'Model Parameters'!$B$2:$B$46,I18),2))</f>
        <v/>
      </c>
      <c r="K18" s="9">
        <f>IF(B18="","",'Model Parameters'!$G$5*((B18-'Model Parameters'!$G$3)/'Model Parameters'!$G$4))</f>
        <v/>
      </c>
      <c r="L18" s="9">
        <f>IF(B18="","",'Model Parameters'!$G$6*IF(C18="Yes",1,0))</f>
        <v/>
      </c>
      <c r="M18" s="9">
        <f>IF(B18="","",SUMIFS('Model Parameters'!$C$2:$C$46,'Model Parameters'!$A$2:$A$46,"entry_product",'Model Parameters'!$B$2:$B$46,D18))</f>
        <v/>
      </c>
      <c r="N18" s="9">
        <f>IF(B18="","",SUMIFS('Model Parameters'!$C$2:$C$46,'Model Parameters'!$A$2:$A$46,"sales_channel",'Model Parameters'!$B$2:$B$46,E18))</f>
        <v/>
      </c>
      <c r="O18" s="9">
        <f>IF(B18="","",SUMIFS('Model Parameters'!$C$2:$C$46,'Model Parameters'!$A$2:$A$46,"gender",'Model Parameters'!$B$2:$B$46,F18))</f>
        <v/>
      </c>
      <c r="P18" s="9">
        <f>IF(B18="","",SUMIFS('Model Parameters'!$C$2:$C$46,'Model Parameters'!$A$2:$A$46,"education",'Model Parameters'!$B$2:$B$46,G18))</f>
        <v/>
      </c>
      <c r="Q18" s="9">
        <f>IF(B18="","",SUMIFS('Model Parameters'!$C$2:$C$46,'Model Parameters'!$A$2:$A$46,"purchase_month",'Model Parameters'!$B$2:$B$46,TEXT(H18,"0")))</f>
        <v/>
      </c>
      <c r="R18" s="9">
        <f>IF(B18="","",SUMIFS('Model Parameters'!$C$2:$C$46,'Model Parameters'!$A$2:$A$46,"purchase_day_of_week",'Model Parameters'!$B$2:$B$46,I18))</f>
        <v/>
      </c>
      <c r="S18">
        <f>IF(COUNTA(B18:I18)=0,"Waiting for input",IF(COUNTA(B18:I18)&lt;8,"Incomplete","Calculated"))</f>
        <v/>
      </c>
    </row>
    <row r="19">
      <c r="A19" s="7" t="inlineStr">
        <is>
          <t>CUST-011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9">
        <f>IF(COUNTA(B19:I19)&lt;8,"",ROUND('Model Parameters'!$G$2+'Model Parameters'!$G$5*((B19-'Model Parameters'!$G$3)/'Model Parameters'!$G$4)+'Model Parameters'!$G$6*IF(C19="Yes",1,0)+SUMIFS('Model Parameters'!$C$2:$C$46,'Model Parameters'!$A$2:$A$46,"entry_product",'Model Parameters'!$B$2:$B$46,D19)+SUMIFS('Model Parameters'!$C$2:$C$46,'Model Parameters'!$A$2:$A$46,"sales_channel",'Model Parameters'!$B$2:$B$46,E19)+SUMIFS('Model Parameters'!$C$2:$C$46,'Model Parameters'!$A$2:$A$46,"gender",'Model Parameters'!$B$2:$B$46,F19)+SUMIFS('Model Parameters'!$C$2:$C$46,'Model Parameters'!$A$2:$A$46,"education",'Model Parameters'!$B$2:$B$46,G19)+SUMIFS('Model Parameters'!$C$2:$C$46,'Model Parameters'!$A$2:$A$46,"purchase_month",'Model Parameters'!$B$2:$B$46,TEXT(H19,"0"))+SUMIFS('Model Parameters'!$C$2:$C$46,'Model Parameters'!$A$2:$A$46,"purchase_day_of_week",'Model Parameters'!$B$2:$B$46,I19),2))</f>
        <v/>
      </c>
      <c r="K19" s="9">
        <f>IF(B19="","",'Model Parameters'!$G$5*((B19-'Model Parameters'!$G$3)/'Model Parameters'!$G$4))</f>
        <v/>
      </c>
      <c r="L19" s="9">
        <f>IF(B19="","",'Model Parameters'!$G$6*IF(C19="Yes",1,0))</f>
        <v/>
      </c>
      <c r="M19" s="9">
        <f>IF(B19="","",SUMIFS('Model Parameters'!$C$2:$C$46,'Model Parameters'!$A$2:$A$46,"entry_product",'Model Parameters'!$B$2:$B$46,D19))</f>
        <v/>
      </c>
      <c r="N19" s="9">
        <f>IF(B19="","",SUMIFS('Model Parameters'!$C$2:$C$46,'Model Parameters'!$A$2:$A$46,"sales_channel",'Model Parameters'!$B$2:$B$46,E19))</f>
        <v/>
      </c>
      <c r="O19" s="9">
        <f>IF(B19="","",SUMIFS('Model Parameters'!$C$2:$C$46,'Model Parameters'!$A$2:$A$46,"gender",'Model Parameters'!$B$2:$B$46,F19))</f>
        <v/>
      </c>
      <c r="P19" s="9">
        <f>IF(B19="","",SUMIFS('Model Parameters'!$C$2:$C$46,'Model Parameters'!$A$2:$A$46,"education",'Model Parameters'!$B$2:$B$46,G19))</f>
        <v/>
      </c>
      <c r="Q19" s="9">
        <f>IF(B19="","",SUMIFS('Model Parameters'!$C$2:$C$46,'Model Parameters'!$A$2:$A$46,"purchase_month",'Model Parameters'!$B$2:$B$46,TEXT(H19,"0")))</f>
        <v/>
      </c>
      <c r="R19" s="9">
        <f>IF(B19="","",SUMIFS('Model Parameters'!$C$2:$C$46,'Model Parameters'!$A$2:$A$46,"purchase_day_of_week",'Model Parameters'!$B$2:$B$46,I19))</f>
        <v/>
      </c>
      <c r="S19">
        <f>IF(COUNTA(B19:I19)=0,"Waiting for input",IF(COUNTA(B19:I19)&lt;8,"Incomplete","Calculated"))</f>
        <v/>
      </c>
    </row>
    <row r="20">
      <c r="A20" s="7" t="inlineStr">
        <is>
          <t>CUST-012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9">
        <f>IF(COUNTA(B20:I20)&lt;8,"",ROUND('Model Parameters'!$G$2+'Model Parameters'!$G$5*((B20-'Model Parameters'!$G$3)/'Model Parameters'!$G$4)+'Model Parameters'!$G$6*IF(C20="Yes",1,0)+SUMIFS('Model Parameters'!$C$2:$C$46,'Model Parameters'!$A$2:$A$46,"entry_product",'Model Parameters'!$B$2:$B$46,D20)+SUMIFS('Model Parameters'!$C$2:$C$46,'Model Parameters'!$A$2:$A$46,"sales_channel",'Model Parameters'!$B$2:$B$46,E20)+SUMIFS('Model Parameters'!$C$2:$C$46,'Model Parameters'!$A$2:$A$46,"gender",'Model Parameters'!$B$2:$B$46,F20)+SUMIFS('Model Parameters'!$C$2:$C$46,'Model Parameters'!$A$2:$A$46,"education",'Model Parameters'!$B$2:$B$46,G20)+SUMIFS('Model Parameters'!$C$2:$C$46,'Model Parameters'!$A$2:$A$46,"purchase_month",'Model Parameters'!$B$2:$B$46,TEXT(H20,"0"))+SUMIFS('Model Parameters'!$C$2:$C$46,'Model Parameters'!$A$2:$A$46,"purchase_day_of_week",'Model Parameters'!$B$2:$B$46,I20),2))</f>
        <v/>
      </c>
      <c r="K20" s="9">
        <f>IF(B20="","",'Model Parameters'!$G$5*((B20-'Model Parameters'!$G$3)/'Model Parameters'!$G$4))</f>
        <v/>
      </c>
      <c r="L20" s="9">
        <f>IF(B20="","",'Model Parameters'!$G$6*IF(C20="Yes",1,0))</f>
        <v/>
      </c>
      <c r="M20" s="9">
        <f>IF(B20="","",SUMIFS('Model Parameters'!$C$2:$C$46,'Model Parameters'!$A$2:$A$46,"entry_product",'Model Parameters'!$B$2:$B$46,D20))</f>
        <v/>
      </c>
      <c r="N20" s="9">
        <f>IF(B20="","",SUMIFS('Model Parameters'!$C$2:$C$46,'Model Parameters'!$A$2:$A$46,"sales_channel",'Model Parameters'!$B$2:$B$46,E20))</f>
        <v/>
      </c>
      <c r="O20" s="9">
        <f>IF(B20="","",SUMIFS('Model Parameters'!$C$2:$C$46,'Model Parameters'!$A$2:$A$46,"gender",'Model Parameters'!$B$2:$B$46,F20))</f>
        <v/>
      </c>
      <c r="P20" s="9">
        <f>IF(B20="","",SUMIFS('Model Parameters'!$C$2:$C$46,'Model Parameters'!$A$2:$A$46,"education",'Model Parameters'!$B$2:$B$46,G20))</f>
        <v/>
      </c>
      <c r="Q20" s="9">
        <f>IF(B20="","",SUMIFS('Model Parameters'!$C$2:$C$46,'Model Parameters'!$A$2:$A$46,"purchase_month",'Model Parameters'!$B$2:$B$46,TEXT(H20,"0")))</f>
        <v/>
      </c>
      <c r="R20" s="9">
        <f>IF(B20="","",SUMIFS('Model Parameters'!$C$2:$C$46,'Model Parameters'!$A$2:$A$46,"purchase_day_of_week",'Model Parameters'!$B$2:$B$46,I20))</f>
        <v/>
      </c>
      <c r="S20">
        <f>IF(COUNTA(B20:I20)=0,"Waiting for input",IF(COUNTA(B20:I20)&lt;8,"Incomplete","Calculated"))</f>
        <v/>
      </c>
    </row>
    <row r="21">
      <c r="A21" s="7" t="inlineStr">
        <is>
          <t>CUST-013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9">
        <f>IF(COUNTA(B21:I21)&lt;8,"",ROUND('Model Parameters'!$G$2+'Model Parameters'!$G$5*((B21-'Model Parameters'!$G$3)/'Model Parameters'!$G$4)+'Model Parameters'!$G$6*IF(C21="Yes",1,0)+SUMIFS('Model Parameters'!$C$2:$C$46,'Model Parameters'!$A$2:$A$46,"entry_product",'Model Parameters'!$B$2:$B$46,D21)+SUMIFS('Model Parameters'!$C$2:$C$46,'Model Parameters'!$A$2:$A$46,"sales_channel",'Model Parameters'!$B$2:$B$46,E21)+SUMIFS('Model Parameters'!$C$2:$C$46,'Model Parameters'!$A$2:$A$46,"gender",'Model Parameters'!$B$2:$B$46,F21)+SUMIFS('Model Parameters'!$C$2:$C$46,'Model Parameters'!$A$2:$A$46,"education",'Model Parameters'!$B$2:$B$46,G21)+SUMIFS('Model Parameters'!$C$2:$C$46,'Model Parameters'!$A$2:$A$46,"purchase_month",'Model Parameters'!$B$2:$B$46,TEXT(H21,"0"))+SUMIFS('Model Parameters'!$C$2:$C$46,'Model Parameters'!$A$2:$A$46,"purchase_day_of_week",'Model Parameters'!$B$2:$B$46,I21),2))</f>
        <v/>
      </c>
      <c r="K21" s="9">
        <f>IF(B21="","",'Model Parameters'!$G$5*((B21-'Model Parameters'!$G$3)/'Model Parameters'!$G$4))</f>
        <v/>
      </c>
      <c r="L21" s="9">
        <f>IF(B21="","",'Model Parameters'!$G$6*IF(C21="Yes",1,0))</f>
        <v/>
      </c>
      <c r="M21" s="9">
        <f>IF(B21="","",SUMIFS('Model Parameters'!$C$2:$C$46,'Model Parameters'!$A$2:$A$46,"entry_product",'Model Parameters'!$B$2:$B$46,D21))</f>
        <v/>
      </c>
      <c r="N21" s="9">
        <f>IF(B21="","",SUMIFS('Model Parameters'!$C$2:$C$46,'Model Parameters'!$A$2:$A$46,"sales_channel",'Model Parameters'!$B$2:$B$46,E21))</f>
        <v/>
      </c>
      <c r="O21" s="9">
        <f>IF(B21="","",SUMIFS('Model Parameters'!$C$2:$C$46,'Model Parameters'!$A$2:$A$46,"gender",'Model Parameters'!$B$2:$B$46,F21))</f>
        <v/>
      </c>
      <c r="P21" s="9">
        <f>IF(B21="","",SUMIFS('Model Parameters'!$C$2:$C$46,'Model Parameters'!$A$2:$A$46,"education",'Model Parameters'!$B$2:$B$46,G21))</f>
        <v/>
      </c>
      <c r="Q21" s="9">
        <f>IF(B21="","",SUMIFS('Model Parameters'!$C$2:$C$46,'Model Parameters'!$A$2:$A$46,"purchase_month",'Model Parameters'!$B$2:$B$46,TEXT(H21,"0")))</f>
        <v/>
      </c>
      <c r="R21" s="9">
        <f>IF(B21="","",SUMIFS('Model Parameters'!$C$2:$C$46,'Model Parameters'!$A$2:$A$46,"purchase_day_of_week",'Model Parameters'!$B$2:$B$46,I21))</f>
        <v/>
      </c>
      <c r="S21">
        <f>IF(COUNTA(B21:I21)=0,"Waiting for input",IF(COUNTA(B21:I21)&lt;8,"Incomplete","Calculated"))</f>
        <v/>
      </c>
    </row>
    <row r="22">
      <c r="A22" s="7" t="inlineStr">
        <is>
          <t>CUST-014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9">
        <f>IF(COUNTA(B22:I22)&lt;8,"",ROUND('Model Parameters'!$G$2+'Model Parameters'!$G$5*((B22-'Model Parameters'!$G$3)/'Model Parameters'!$G$4)+'Model Parameters'!$G$6*IF(C22="Yes",1,0)+SUMIFS('Model Parameters'!$C$2:$C$46,'Model Parameters'!$A$2:$A$46,"entry_product",'Model Parameters'!$B$2:$B$46,D22)+SUMIFS('Model Parameters'!$C$2:$C$46,'Model Parameters'!$A$2:$A$46,"sales_channel",'Model Parameters'!$B$2:$B$46,E22)+SUMIFS('Model Parameters'!$C$2:$C$46,'Model Parameters'!$A$2:$A$46,"gender",'Model Parameters'!$B$2:$B$46,F22)+SUMIFS('Model Parameters'!$C$2:$C$46,'Model Parameters'!$A$2:$A$46,"education",'Model Parameters'!$B$2:$B$46,G22)+SUMIFS('Model Parameters'!$C$2:$C$46,'Model Parameters'!$A$2:$A$46,"purchase_month",'Model Parameters'!$B$2:$B$46,TEXT(H22,"0"))+SUMIFS('Model Parameters'!$C$2:$C$46,'Model Parameters'!$A$2:$A$46,"purchase_day_of_week",'Model Parameters'!$B$2:$B$46,I22),2))</f>
        <v/>
      </c>
      <c r="K22" s="9">
        <f>IF(B22="","",'Model Parameters'!$G$5*((B22-'Model Parameters'!$G$3)/'Model Parameters'!$G$4))</f>
        <v/>
      </c>
      <c r="L22" s="9">
        <f>IF(B22="","",'Model Parameters'!$G$6*IF(C22="Yes",1,0))</f>
        <v/>
      </c>
      <c r="M22" s="9">
        <f>IF(B22="","",SUMIFS('Model Parameters'!$C$2:$C$46,'Model Parameters'!$A$2:$A$46,"entry_product",'Model Parameters'!$B$2:$B$46,D22))</f>
        <v/>
      </c>
      <c r="N22" s="9">
        <f>IF(B22="","",SUMIFS('Model Parameters'!$C$2:$C$46,'Model Parameters'!$A$2:$A$46,"sales_channel",'Model Parameters'!$B$2:$B$46,E22))</f>
        <v/>
      </c>
      <c r="O22" s="9">
        <f>IF(B22="","",SUMIFS('Model Parameters'!$C$2:$C$46,'Model Parameters'!$A$2:$A$46,"gender",'Model Parameters'!$B$2:$B$46,F22))</f>
        <v/>
      </c>
      <c r="P22" s="9">
        <f>IF(B22="","",SUMIFS('Model Parameters'!$C$2:$C$46,'Model Parameters'!$A$2:$A$46,"education",'Model Parameters'!$B$2:$B$46,G22))</f>
        <v/>
      </c>
      <c r="Q22" s="9">
        <f>IF(B22="","",SUMIFS('Model Parameters'!$C$2:$C$46,'Model Parameters'!$A$2:$A$46,"purchase_month",'Model Parameters'!$B$2:$B$46,TEXT(H22,"0")))</f>
        <v/>
      </c>
      <c r="R22" s="9">
        <f>IF(B22="","",SUMIFS('Model Parameters'!$C$2:$C$46,'Model Parameters'!$A$2:$A$46,"purchase_day_of_week",'Model Parameters'!$B$2:$B$46,I22))</f>
        <v/>
      </c>
      <c r="S22">
        <f>IF(COUNTA(B22:I22)=0,"Waiting for input",IF(COUNTA(B22:I22)&lt;8,"Incomplete","Calculated"))</f>
        <v/>
      </c>
    </row>
    <row r="23">
      <c r="A23" s="7" t="inlineStr">
        <is>
          <t>CUST-015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9">
        <f>IF(COUNTA(B23:I23)&lt;8,"",ROUND('Model Parameters'!$G$2+'Model Parameters'!$G$5*((B23-'Model Parameters'!$G$3)/'Model Parameters'!$G$4)+'Model Parameters'!$G$6*IF(C23="Yes",1,0)+SUMIFS('Model Parameters'!$C$2:$C$46,'Model Parameters'!$A$2:$A$46,"entry_product",'Model Parameters'!$B$2:$B$46,D23)+SUMIFS('Model Parameters'!$C$2:$C$46,'Model Parameters'!$A$2:$A$46,"sales_channel",'Model Parameters'!$B$2:$B$46,E23)+SUMIFS('Model Parameters'!$C$2:$C$46,'Model Parameters'!$A$2:$A$46,"gender",'Model Parameters'!$B$2:$B$46,F23)+SUMIFS('Model Parameters'!$C$2:$C$46,'Model Parameters'!$A$2:$A$46,"education",'Model Parameters'!$B$2:$B$46,G23)+SUMIFS('Model Parameters'!$C$2:$C$46,'Model Parameters'!$A$2:$A$46,"purchase_month",'Model Parameters'!$B$2:$B$46,TEXT(H23,"0"))+SUMIFS('Model Parameters'!$C$2:$C$46,'Model Parameters'!$A$2:$A$46,"purchase_day_of_week",'Model Parameters'!$B$2:$B$46,I23),2))</f>
        <v/>
      </c>
      <c r="K23" s="9">
        <f>IF(B23="","",'Model Parameters'!$G$5*((B23-'Model Parameters'!$G$3)/'Model Parameters'!$G$4))</f>
        <v/>
      </c>
      <c r="L23" s="9">
        <f>IF(B23="","",'Model Parameters'!$G$6*IF(C23="Yes",1,0))</f>
        <v/>
      </c>
      <c r="M23" s="9">
        <f>IF(B23="","",SUMIFS('Model Parameters'!$C$2:$C$46,'Model Parameters'!$A$2:$A$46,"entry_product",'Model Parameters'!$B$2:$B$46,D23))</f>
        <v/>
      </c>
      <c r="N23" s="9">
        <f>IF(B23="","",SUMIFS('Model Parameters'!$C$2:$C$46,'Model Parameters'!$A$2:$A$46,"sales_channel",'Model Parameters'!$B$2:$B$46,E23))</f>
        <v/>
      </c>
      <c r="O23" s="9">
        <f>IF(B23="","",SUMIFS('Model Parameters'!$C$2:$C$46,'Model Parameters'!$A$2:$A$46,"gender",'Model Parameters'!$B$2:$B$46,F23))</f>
        <v/>
      </c>
      <c r="P23" s="9">
        <f>IF(B23="","",SUMIFS('Model Parameters'!$C$2:$C$46,'Model Parameters'!$A$2:$A$46,"education",'Model Parameters'!$B$2:$B$46,G23))</f>
        <v/>
      </c>
      <c r="Q23" s="9">
        <f>IF(B23="","",SUMIFS('Model Parameters'!$C$2:$C$46,'Model Parameters'!$A$2:$A$46,"purchase_month",'Model Parameters'!$B$2:$B$46,TEXT(H23,"0")))</f>
        <v/>
      </c>
      <c r="R23" s="9">
        <f>IF(B23="","",SUMIFS('Model Parameters'!$C$2:$C$46,'Model Parameters'!$A$2:$A$46,"purchase_day_of_week",'Model Parameters'!$B$2:$B$46,I23))</f>
        <v/>
      </c>
      <c r="S23">
        <f>IF(COUNTA(B23:I23)=0,"Waiting for input",IF(COUNTA(B23:I23)&lt;8,"Incomplete","Calculated"))</f>
        <v/>
      </c>
    </row>
    <row r="24">
      <c r="A24" s="7" t="inlineStr">
        <is>
          <t>CUST-016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9">
        <f>IF(COUNTA(B24:I24)&lt;8,"",ROUND('Model Parameters'!$G$2+'Model Parameters'!$G$5*((B24-'Model Parameters'!$G$3)/'Model Parameters'!$G$4)+'Model Parameters'!$G$6*IF(C24="Yes",1,0)+SUMIFS('Model Parameters'!$C$2:$C$46,'Model Parameters'!$A$2:$A$46,"entry_product",'Model Parameters'!$B$2:$B$46,D24)+SUMIFS('Model Parameters'!$C$2:$C$46,'Model Parameters'!$A$2:$A$46,"sales_channel",'Model Parameters'!$B$2:$B$46,E24)+SUMIFS('Model Parameters'!$C$2:$C$46,'Model Parameters'!$A$2:$A$46,"gender",'Model Parameters'!$B$2:$B$46,F24)+SUMIFS('Model Parameters'!$C$2:$C$46,'Model Parameters'!$A$2:$A$46,"education",'Model Parameters'!$B$2:$B$46,G24)+SUMIFS('Model Parameters'!$C$2:$C$46,'Model Parameters'!$A$2:$A$46,"purchase_month",'Model Parameters'!$B$2:$B$46,TEXT(H24,"0"))+SUMIFS('Model Parameters'!$C$2:$C$46,'Model Parameters'!$A$2:$A$46,"purchase_day_of_week",'Model Parameters'!$B$2:$B$46,I24),2))</f>
        <v/>
      </c>
      <c r="K24" s="9">
        <f>IF(B24="","",'Model Parameters'!$G$5*((B24-'Model Parameters'!$G$3)/'Model Parameters'!$G$4))</f>
        <v/>
      </c>
      <c r="L24" s="9">
        <f>IF(B24="","",'Model Parameters'!$G$6*IF(C24="Yes",1,0))</f>
        <v/>
      </c>
      <c r="M24" s="9">
        <f>IF(B24="","",SUMIFS('Model Parameters'!$C$2:$C$46,'Model Parameters'!$A$2:$A$46,"entry_product",'Model Parameters'!$B$2:$B$46,D24))</f>
        <v/>
      </c>
      <c r="N24" s="9">
        <f>IF(B24="","",SUMIFS('Model Parameters'!$C$2:$C$46,'Model Parameters'!$A$2:$A$46,"sales_channel",'Model Parameters'!$B$2:$B$46,E24))</f>
        <v/>
      </c>
      <c r="O24" s="9">
        <f>IF(B24="","",SUMIFS('Model Parameters'!$C$2:$C$46,'Model Parameters'!$A$2:$A$46,"gender",'Model Parameters'!$B$2:$B$46,F24))</f>
        <v/>
      </c>
      <c r="P24" s="9">
        <f>IF(B24="","",SUMIFS('Model Parameters'!$C$2:$C$46,'Model Parameters'!$A$2:$A$46,"education",'Model Parameters'!$B$2:$B$46,G24))</f>
        <v/>
      </c>
      <c r="Q24" s="9">
        <f>IF(B24="","",SUMIFS('Model Parameters'!$C$2:$C$46,'Model Parameters'!$A$2:$A$46,"purchase_month",'Model Parameters'!$B$2:$B$46,TEXT(H24,"0")))</f>
        <v/>
      </c>
      <c r="R24" s="9">
        <f>IF(B24="","",SUMIFS('Model Parameters'!$C$2:$C$46,'Model Parameters'!$A$2:$A$46,"purchase_day_of_week",'Model Parameters'!$B$2:$B$46,I24))</f>
        <v/>
      </c>
      <c r="S24">
        <f>IF(COUNTA(B24:I24)=0,"Waiting for input",IF(COUNTA(B24:I24)&lt;8,"Incomplete","Calculated"))</f>
        <v/>
      </c>
    </row>
    <row r="25">
      <c r="A25" s="7" t="inlineStr">
        <is>
          <t>CUST-017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9">
        <f>IF(COUNTA(B25:I25)&lt;8,"",ROUND('Model Parameters'!$G$2+'Model Parameters'!$G$5*((B25-'Model Parameters'!$G$3)/'Model Parameters'!$G$4)+'Model Parameters'!$G$6*IF(C25="Yes",1,0)+SUMIFS('Model Parameters'!$C$2:$C$46,'Model Parameters'!$A$2:$A$46,"entry_product",'Model Parameters'!$B$2:$B$46,D25)+SUMIFS('Model Parameters'!$C$2:$C$46,'Model Parameters'!$A$2:$A$46,"sales_channel",'Model Parameters'!$B$2:$B$46,E25)+SUMIFS('Model Parameters'!$C$2:$C$46,'Model Parameters'!$A$2:$A$46,"gender",'Model Parameters'!$B$2:$B$46,F25)+SUMIFS('Model Parameters'!$C$2:$C$46,'Model Parameters'!$A$2:$A$46,"education",'Model Parameters'!$B$2:$B$46,G25)+SUMIFS('Model Parameters'!$C$2:$C$46,'Model Parameters'!$A$2:$A$46,"purchase_month",'Model Parameters'!$B$2:$B$46,TEXT(H25,"0"))+SUMIFS('Model Parameters'!$C$2:$C$46,'Model Parameters'!$A$2:$A$46,"purchase_day_of_week",'Model Parameters'!$B$2:$B$46,I25),2))</f>
        <v/>
      </c>
      <c r="K25" s="9">
        <f>IF(B25="","",'Model Parameters'!$G$5*((B25-'Model Parameters'!$G$3)/'Model Parameters'!$G$4))</f>
        <v/>
      </c>
      <c r="L25" s="9">
        <f>IF(B25="","",'Model Parameters'!$G$6*IF(C25="Yes",1,0))</f>
        <v/>
      </c>
      <c r="M25" s="9">
        <f>IF(B25="","",SUMIFS('Model Parameters'!$C$2:$C$46,'Model Parameters'!$A$2:$A$46,"entry_product",'Model Parameters'!$B$2:$B$46,D25))</f>
        <v/>
      </c>
      <c r="N25" s="9">
        <f>IF(B25="","",SUMIFS('Model Parameters'!$C$2:$C$46,'Model Parameters'!$A$2:$A$46,"sales_channel",'Model Parameters'!$B$2:$B$46,E25))</f>
        <v/>
      </c>
      <c r="O25" s="9">
        <f>IF(B25="","",SUMIFS('Model Parameters'!$C$2:$C$46,'Model Parameters'!$A$2:$A$46,"gender",'Model Parameters'!$B$2:$B$46,F25))</f>
        <v/>
      </c>
      <c r="P25" s="9">
        <f>IF(B25="","",SUMIFS('Model Parameters'!$C$2:$C$46,'Model Parameters'!$A$2:$A$46,"education",'Model Parameters'!$B$2:$B$46,G25))</f>
        <v/>
      </c>
      <c r="Q25" s="9">
        <f>IF(B25="","",SUMIFS('Model Parameters'!$C$2:$C$46,'Model Parameters'!$A$2:$A$46,"purchase_month",'Model Parameters'!$B$2:$B$46,TEXT(H25,"0")))</f>
        <v/>
      </c>
      <c r="R25" s="9">
        <f>IF(B25="","",SUMIFS('Model Parameters'!$C$2:$C$46,'Model Parameters'!$A$2:$A$46,"purchase_day_of_week",'Model Parameters'!$B$2:$B$46,I25))</f>
        <v/>
      </c>
      <c r="S25">
        <f>IF(COUNTA(B25:I25)=0,"Waiting for input",IF(COUNTA(B25:I25)&lt;8,"Incomplete","Calculated"))</f>
        <v/>
      </c>
    </row>
    <row r="26">
      <c r="A26" s="7" t="inlineStr">
        <is>
          <t>CUST-018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9">
        <f>IF(COUNTA(B26:I26)&lt;8,"",ROUND('Model Parameters'!$G$2+'Model Parameters'!$G$5*((B26-'Model Parameters'!$G$3)/'Model Parameters'!$G$4)+'Model Parameters'!$G$6*IF(C26="Yes",1,0)+SUMIFS('Model Parameters'!$C$2:$C$46,'Model Parameters'!$A$2:$A$46,"entry_product",'Model Parameters'!$B$2:$B$46,D26)+SUMIFS('Model Parameters'!$C$2:$C$46,'Model Parameters'!$A$2:$A$46,"sales_channel",'Model Parameters'!$B$2:$B$46,E26)+SUMIFS('Model Parameters'!$C$2:$C$46,'Model Parameters'!$A$2:$A$46,"gender",'Model Parameters'!$B$2:$B$46,F26)+SUMIFS('Model Parameters'!$C$2:$C$46,'Model Parameters'!$A$2:$A$46,"education",'Model Parameters'!$B$2:$B$46,G26)+SUMIFS('Model Parameters'!$C$2:$C$46,'Model Parameters'!$A$2:$A$46,"purchase_month",'Model Parameters'!$B$2:$B$46,TEXT(H26,"0"))+SUMIFS('Model Parameters'!$C$2:$C$46,'Model Parameters'!$A$2:$A$46,"purchase_day_of_week",'Model Parameters'!$B$2:$B$46,I26),2))</f>
        <v/>
      </c>
      <c r="K26" s="9">
        <f>IF(B26="","",'Model Parameters'!$G$5*((B26-'Model Parameters'!$G$3)/'Model Parameters'!$G$4))</f>
        <v/>
      </c>
      <c r="L26" s="9">
        <f>IF(B26="","",'Model Parameters'!$G$6*IF(C26="Yes",1,0))</f>
        <v/>
      </c>
      <c r="M26" s="9">
        <f>IF(B26="","",SUMIFS('Model Parameters'!$C$2:$C$46,'Model Parameters'!$A$2:$A$46,"entry_product",'Model Parameters'!$B$2:$B$46,D26))</f>
        <v/>
      </c>
      <c r="N26" s="9">
        <f>IF(B26="","",SUMIFS('Model Parameters'!$C$2:$C$46,'Model Parameters'!$A$2:$A$46,"sales_channel",'Model Parameters'!$B$2:$B$46,E26))</f>
        <v/>
      </c>
      <c r="O26" s="9">
        <f>IF(B26="","",SUMIFS('Model Parameters'!$C$2:$C$46,'Model Parameters'!$A$2:$A$46,"gender",'Model Parameters'!$B$2:$B$46,F26))</f>
        <v/>
      </c>
      <c r="P26" s="9">
        <f>IF(B26="","",SUMIFS('Model Parameters'!$C$2:$C$46,'Model Parameters'!$A$2:$A$46,"education",'Model Parameters'!$B$2:$B$46,G26))</f>
        <v/>
      </c>
      <c r="Q26" s="9">
        <f>IF(B26="","",SUMIFS('Model Parameters'!$C$2:$C$46,'Model Parameters'!$A$2:$A$46,"purchase_month",'Model Parameters'!$B$2:$B$46,TEXT(H26,"0")))</f>
        <v/>
      </c>
      <c r="R26" s="9">
        <f>IF(B26="","",SUMIFS('Model Parameters'!$C$2:$C$46,'Model Parameters'!$A$2:$A$46,"purchase_day_of_week",'Model Parameters'!$B$2:$B$46,I26))</f>
        <v/>
      </c>
      <c r="S26">
        <f>IF(COUNTA(B26:I26)=0,"Waiting for input",IF(COUNTA(B26:I26)&lt;8,"Incomplete","Calculated"))</f>
        <v/>
      </c>
    </row>
    <row r="27">
      <c r="A27" s="7" t="inlineStr">
        <is>
          <t>CUST-019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9">
        <f>IF(COUNTA(B27:I27)&lt;8,"",ROUND('Model Parameters'!$G$2+'Model Parameters'!$G$5*((B27-'Model Parameters'!$G$3)/'Model Parameters'!$G$4)+'Model Parameters'!$G$6*IF(C27="Yes",1,0)+SUMIFS('Model Parameters'!$C$2:$C$46,'Model Parameters'!$A$2:$A$46,"entry_product",'Model Parameters'!$B$2:$B$46,D27)+SUMIFS('Model Parameters'!$C$2:$C$46,'Model Parameters'!$A$2:$A$46,"sales_channel",'Model Parameters'!$B$2:$B$46,E27)+SUMIFS('Model Parameters'!$C$2:$C$46,'Model Parameters'!$A$2:$A$46,"gender",'Model Parameters'!$B$2:$B$46,F27)+SUMIFS('Model Parameters'!$C$2:$C$46,'Model Parameters'!$A$2:$A$46,"education",'Model Parameters'!$B$2:$B$46,G27)+SUMIFS('Model Parameters'!$C$2:$C$46,'Model Parameters'!$A$2:$A$46,"purchase_month",'Model Parameters'!$B$2:$B$46,TEXT(H27,"0"))+SUMIFS('Model Parameters'!$C$2:$C$46,'Model Parameters'!$A$2:$A$46,"purchase_day_of_week",'Model Parameters'!$B$2:$B$46,I27),2))</f>
        <v/>
      </c>
      <c r="K27" s="9">
        <f>IF(B27="","",'Model Parameters'!$G$5*((B27-'Model Parameters'!$G$3)/'Model Parameters'!$G$4))</f>
        <v/>
      </c>
      <c r="L27" s="9">
        <f>IF(B27="","",'Model Parameters'!$G$6*IF(C27="Yes",1,0))</f>
        <v/>
      </c>
      <c r="M27" s="9">
        <f>IF(B27="","",SUMIFS('Model Parameters'!$C$2:$C$46,'Model Parameters'!$A$2:$A$46,"entry_product",'Model Parameters'!$B$2:$B$46,D27))</f>
        <v/>
      </c>
      <c r="N27" s="9">
        <f>IF(B27="","",SUMIFS('Model Parameters'!$C$2:$C$46,'Model Parameters'!$A$2:$A$46,"sales_channel",'Model Parameters'!$B$2:$B$46,E27))</f>
        <v/>
      </c>
      <c r="O27" s="9">
        <f>IF(B27="","",SUMIFS('Model Parameters'!$C$2:$C$46,'Model Parameters'!$A$2:$A$46,"gender",'Model Parameters'!$B$2:$B$46,F27))</f>
        <v/>
      </c>
      <c r="P27" s="9">
        <f>IF(B27="","",SUMIFS('Model Parameters'!$C$2:$C$46,'Model Parameters'!$A$2:$A$46,"education",'Model Parameters'!$B$2:$B$46,G27))</f>
        <v/>
      </c>
      <c r="Q27" s="9">
        <f>IF(B27="","",SUMIFS('Model Parameters'!$C$2:$C$46,'Model Parameters'!$A$2:$A$46,"purchase_month",'Model Parameters'!$B$2:$B$46,TEXT(H27,"0")))</f>
        <v/>
      </c>
      <c r="R27" s="9">
        <f>IF(B27="","",SUMIFS('Model Parameters'!$C$2:$C$46,'Model Parameters'!$A$2:$A$46,"purchase_day_of_week",'Model Parameters'!$B$2:$B$46,I27))</f>
        <v/>
      </c>
      <c r="S27">
        <f>IF(COUNTA(B27:I27)=0,"Waiting for input",IF(COUNTA(B27:I27)&lt;8,"Incomplete","Calculated"))</f>
        <v/>
      </c>
    </row>
    <row r="28">
      <c r="A28" s="7" t="inlineStr">
        <is>
          <t>CUST-020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9">
        <f>IF(COUNTA(B28:I28)&lt;8,"",ROUND('Model Parameters'!$G$2+'Model Parameters'!$G$5*((B28-'Model Parameters'!$G$3)/'Model Parameters'!$G$4)+'Model Parameters'!$G$6*IF(C28="Yes",1,0)+SUMIFS('Model Parameters'!$C$2:$C$46,'Model Parameters'!$A$2:$A$46,"entry_product",'Model Parameters'!$B$2:$B$46,D28)+SUMIFS('Model Parameters'!$C$2:$C$46,'Model Parameters'!$A$2:$A$46,"sales_channel",'Model Parameters'!$B$2:$B$46,E28)+SUMIFS('Model Parameters'!$C$2:$C$46,'Model Parameters'!$A$2:$A$46,"gender",'Model Parameters'!$B$2:$B$46,F28)+SUMIFS('Model Parameters'!$C$2:$C$46,'Model Parameters'!$A$2:$A$46,"education",'Model Parameters'!$B$2:$B$46,G28)+SUMIFS('Model Parameters'!$C$2:$C$46,'Model Parameters'!$A$2:$A$46,"purchase_month",'Model Parameters'!$B$2:$B$46,TEXT(H28,"0"))+SUMIFS('Model Parameters'!$C$2:$C$46,'Model Parameters'!$A$2:$A$46,"purchase_day_of_week",'Model Parameters'!$B$2:$B$46,I28),2))</f>
        <v/>
      </c>
      <c r="K28" s="9">
        <f>IF(B28="","",'Model Parameters'!$G$5*((B28-'Model Parameters'!$G$3)/'Model Parameters'!$G$4))</f>
        <v/>
      </c>
      <c r="L28" s="9">
        <f>IF(B28="","",'Model Parameters'!$G$6*IF(C28="Yes",1,0))</f>
        <v/>
      </c>
      <c r="M28" s="9">
        <f>IF(B28="","",SUMIFS('Model Parameters'!$C$2:$C$46,'Model Parameters'!$A$2:$A$46,"entry_product",'Model Parameters'!$B$2:$B$46,D28))</f>
        <v/>
      </c>
      <c r="N28" s="9">
        <f>IF(B28="","",SUMIFS('Model Parameters'!$C$2:$C$46,'Model Parameters'!$A$2:$A$46,"sales_channel",'Model Parameters'!$B$2:$B$46,E28))</f>
        <v/>
      </c>
      <c r="O28" s="9">
        <f>IF(B28="","",SUMIFS('Model Parameters'!$C$2:$C$46,'Model Parameters'!$A$2:$A$46,"gender",'Model Parameters'!$B$2:$B$46,F28))</f>
        <v/>
      </c>
      <c r="P28" s="9">
        <f>IF(B28="","",SUMIFS('Model Parameters'!$C$2:$C$46,'Model Parameters'!$A$2:$A$46,"education",'Model Parameters'!$B$2:$B$46,G28))</f>
        <v/>
      </c>
      <c r="Q28" s="9">
        <f>IF(B28="","",SUMIFS('Model Parameters'!$C$2:$C$46,'Model Parameters'!$A$2:$A$46,"purchase_month",'Model Parameters'!$B$2:$B$46,TEXT(H28,"0")))</f>
        <v/>
      </c>
      <c r="R28" s="9">
        <f>IF(B28="","",SUMIFS('Model Parameters'!$C$2:$C$46,'Model Parameters'!$A$2:$A$46,"purchase_day_of_week",'Model Parameters'!$B$2:$B$46,I28))</f>
        <v/>
      </c>
      <c r="S28">
        <f>IF(COUNTA(B28:I28)=0,"Waiting for input",IF(COUNTA(B28:I28)&lt;8,"Incomplete","Calculated"))</f>
        <v/>
      </c>
    </row>
    <row r="29">
      <c r="A29" s="7" t="inlineStr">
        <is>
          <t>CUST-021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9">
        <f>IF(COUNTA(B29:I29)&lt;8,"",ROUND('Model Parameters'!$G$2+'Model Parameters'!$G$5*((B29-'Model Parameters'!$G$3)/'Model Parameters'!$G$4)+'Model Parameters'!$G$6*IF(C29="Yes",1,0)+SUMIFS('Model Parameters'!$C$2:$C$46,'Model Parameters'!$A$2:$A$46,"entry_product",'Model Parameters'!$B$2:$B$46,D29)+SUMIFS('Model Parameters'!$C$2:$C$46,'Model Parameters'!$A$2:$A$46,"sales_channel",'Model Parameters'!$B$2:$B$46,E29)+SUMIFS('Model Parameters'!$C$2:$C$46,'Model Parameters'!$A$2:$A$46,"gender",'Model Parameters'!$B$2:$B$46,F29)+SUMIFS('Model Parameters'!$C$2:$C$46,'Model Parameters'!$A$2:$A$46,"education",'Model Parameters'!$B$2:$B$46,G29)+SUMIFS('Model Parameters'!$C$2:$C$46,'Model Parameters'!$A$2:$A$46,"purchase_month",'Model Parameters'!$B$2:$B$46,TEXT(H29,"0"))+SUMIFS('Model Parameters'!$C$2:$C$46,'Model Parameters'!$A$2:$A$46,"purchase_day_of_week",'Model Parameters'!$B$2:$B$46,I29),2))</f>
        <v/>
      </c>
      <c r="K29" s="9">
        <f>IF(B29="","",'Model Parameters'!$G$5*((B29-'Model Parameters'!$G$3)/'Model Parameters'!$G$4))</f>
        <v/>
      </c>
      <c r="L29" s="9">
        <f>IF(B29="","",'Model Parameters'!$G$6*IF(C29="Yes",1,0))</f>
        <v/>
      </c>
      <c r="M29" s="9">
        <f>IF(B29="","",SUMIFS('Model Parameters'!$C$2:$C$46,'Model Parameters'!$A$2:$A$46,"entry_product",'Model Parameters'!$B$2:$B$46,D29))</f>
        <v/>
      </c>
      <c r="N29" s="9">
        <f>IF(B29="","",SUMIFS('Model Parameters'!$C$2:$C$46,'Model Parameters'!$A$2:$A$46,"sales_channel",'Model Parameters'!$B$2:$B$46,E29))</f>
        <v/>
      </c>
      <c r="O29" s="9">
        <f>IF(B29="","",SUMIFS('Model Parameters'!$C$2:$C$46,'Model Parameters'!$A$2:$A$46,"gender",'Model Parameters'!$B$2:$B$46,F29))</f>
        <v/>
      </c>
      <c r="P29" s="9">
        <f>IF(B29="","",SUMIFS('Model Parameters'!$C$2:$C$46,'Model Parameters'!$A$2:$A$46,"education",'Model Parameters'!$B$2:$B$46,G29))</f>
        <v/>
      </c>
      <c r="Q29" s="9">
        <f>IF(B29="","",SUMIFS('Model Parameters'!$C$2:$C$46,'Model Parameters'!$A$2:$A$46,"purchase_month",'Model Parameters'!$B$2:$B$46,TEXT(H29,"0")))</f>
        <v/>
      </c>
      <c r="R29" s="9">
        <f>IF(B29="","",SUMIFS('Model Parameters'!$C$2:$C$46,'Model Parameters'!$A$2:$A$46,"purchase_day_of_week",'Model Parameters'!$B$2:$B$46,I29))</f>
        <v/>
      </c>
      <c r="S29">
        <f>IF(COUNTA(B29:I29)=0,"Waiting for input",IF(COUNTA(B29:I29)&lt;8,"Incomplete","Calculated"))</f>
        <v/>
      </c>
    </row>
    <row r="30">
      <c r="A30" s="7" t="inlineStr">
        <is>
          <t>CUST-022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9">
        <f>IF(COUNTA(B30:I30)&lt;8,"",ROUND('Model Parameters'!$G$2+'Model Parameters'!$G$5*((B30-'Model Parameters'!$G$3)/'Model Parameters'!$G$4)+'Model Parameters'!$G$6*IF(C30="Yes",1,0)+SUMIFS('Model Parameters'!$C$2:$C$46,'Model Parameters'!$A$2:$A$46,"entry_product",'Model Parameters'!$B$2:$B$46,D30)+SUMIFS('Model Parameters'!$C$2:$C$46,'Model Parameters'!$A$2:$A$46,"sales_channel",'Model Parameters'!$B$2:$B$46,E30)+SUMIFS('Model Parameters'!$C$2:$C$46,'Model Parameters'!$A$2:$A$46,"gender",'Model Parameters'!$B$2:$B$46,F30)+SUMIFS('Model Parameters'!$C$2:$C$46,'Model Parameters'!$A$2:$A$46,"education",'Model Parameters'!$B$2:$B$46,G30)+SUMIFS('Model Parameters'!$C$2:$C$46,'Model Parameters'!$A$2:$A$46,"purchase_month",'Model Parameters'!$B$2:$B$46,TEXT(H30,"0"))+SUMIFS('Model Parameters'!$C$2:$C$46,'Model Parameters'!$A$2:$A$46,"purchase_day_of_week",'Model Parameters'!$B$2:$B$46,I30),2))</f>
        <v/>
      </c>
      <c r="K30" s="9">
        <f>IF(B30="","",'Model Parameters'!$G$5*((B30-'Model Parameters'!$G$3)/'Model Parameters'!$G$4))</f>
        <v/>
      </c>
      <c r="L30" s="9">
        <f>IF(B30="","",'Model Parameters'!$G$6*IF(C30="Yes",1,0))</f>
        <v/>
      </c>
      <c r="M30" s="9">
        <f>IF(B30="","",SUMIFS('Model Parameters'!$C$2:$C$46,'Model Parameters'!$A$2:$A$46,"entry_product",'Model Parameters'!$B$2:$B$46,D30))</f>
        <v/>
      </c>
      <c r="N30" s="9">
        <f>IF(B30="","",SUMIFS('Model Parameters'!$C$2:$C$46,'Model Parameters'!$A$2:$A$46,"sales_channel",'Model Parameters'!$B$2:$B$46,E30))</f>
        <v/>
      </c>
      <c r="O30" s="9">
        <f>IF(B30="","",SUMIFS('Model Parameters'!$C$2:$C$46,'Model Parameters'!$A$2:$A$46,"gender",'Model Parameters'!$B$2:$B$46,F30))</f>
        <v/>
      </c>
      <c r="P30" s="9">
        <f>IF(B30="","",SUMIFS('Model Parameters'!$C$2:$C$46,'Model Parameters'!$A$2:$A$46,"education",'Model Parameters'!$B$2:$B$46,G30))</f>
        <v/>
      </c>
      <c r="Q30" s="9">
        <f>IF(B30="","",SUMIFS('Model Parameters'!$C$2:$C$46,'Model Parameters'!$A$2:$A$46,"purchase_month",'Model Parameters'!$B$2:$B$46,TEXT(H30,"0")))</f>
        <v/>
      </c>
      <c r="R30" s="9">
        <f>IF(B30="","",SUMIFS('Model Parameters'!$C$2:$C$46,'Model Parameters'!$A$2:$A$46,"purchase_day_of_week",'Model Parameters'!$B$2:$B$46,I30))</f>
        <v/>
      </c>
      <c r="S30">
        <f>IF(COUNTA(B30:I30)=0,"Waiting for input",IF(COUNTA(B30:I30)&lt;8,"Incomplete","Calculated"))</f>
        <v/>
      </c>
    </row>
    <row r="31">
      <c r="A31" s="7" t="inlineStr">
        <is>
          <t>CUST-023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9">
        <f>IF(COUNTA(B31:I31)&lt;8,"",ROUND('Model Parameters'!$G$2+'Model Parameters'!$G$5*((B31-'Model Parameters'!$G$3)/'Model Parameters'!$G$4)+'Model Parameters'!$G$6*IF(C31="Yes",1,0)+SUMIFS('Model Parameters'!$C$2:$C$46,'Model Parameters'!$A$2:$A$46,"entry_product",'Model Parameters'!$B$2:$B$46,D31)+SUMIFS('Model Parameters'!$C$2:$C$46,'Model Parameters'!$A$2:$A$46,"sales_channel",'Model Parameters'!$B$2:$B$46,E31)+SUMIFS('Model Parameters'!$C$2:$C$46,'Model Parameters'!$A$2:$A$46,"gender",'Model Parameters'!$B$2:$B$46,F31)+SUMIFS('Model Parameters'!$C$2:$C$46,'Model Parameters'!$A$2:$A$46,"education",'Model Parameters'!$B$2:$B$46,G31)+SUMIFS('Model Parameters'!$C$2:$C$46,'Model Parameters'!$A$2:$A$46,"purchase_month",'Model Parameters'!$B$2:$B$46,TEXT(H31,"0"))+SUMIFS('Model Parameters'!$C$2:$C$46,'Model Parameters'!$A$2:$A$46,"purchase_day_of_week",'Model Parameters'!$B$2:$B$46,I31),2))</f>
        <v/>
      </c>
      <c r="K31" s="9">
        <f>IF(B31="","",'Model Parameters'!$G$5*((B31-'Model Parameters'!$G$3)/'Model Parameters'!$G$4))</f>
        <v/>
      </c>
      <c r="L31" s="9">
        <f>IF(B31="","",'Model Parameters'!$G$6*IF(C31="Yes",1,0))</f>
        <v/>
      </c>
      <c r="M31" s="9">
        <f>IF(B31="","",SUMIFS('Model Parameters'!$C$2:$C$46,'Model Parameters'!$A$2:$A$46,"entry_product",'Model Parameters'!$B$2:$B$46,D31))</f>
        <v/>
      </c>
      <c r="N31" s="9">
        <f>IF(B31="","",SUMIFS('Model Parameters'!$C$2:$C$46,'Model Parameters'!$A$2:$A$46,"sales_channel",'Model Parameters'!$B$2:$B$46,E31))</f>
        <v/>
      </c>
      <c r="O31" s="9">
        <f>IF(B31="","",SUMIFS('Model Parameters'!$C$2:$C$46,'Model Parameters'!$A$2:$A$46,"gender",'Model Parameters'!$B$2:$B$46,F31))</f>
        <v/>
      </c>
      <c r="P31" s="9">
        <f>IF(B31="","",SUMIFS('Model Parameters'!$C$2:$C$46,'Model Parameters'!$A$2:$A$46,"education",'Model Parameters'!$B$2:$B$46,G31))</f>
        <v/>
      </c>
      <c r="Q31" s="9">
        <f>IF(B31="","",SUMIFS('Model Parameters'!$C$2:$C$46,'Model Parameters'!$A$2:$A$46,"purchase_month",'Model Parameters'!$B$2:$B$46,TEXT(H31,"0")))</f>
        <v/>
      </c>
      <c r="R31" s="9">
        <f>IF(B31="","",SUMIFS('Model Parameters'!$C$2:$C$46,'Model Parameters'!$A$2:$A$46,"purchase_day_of_week",'Model Parameters'!$B$2:$B$46,I31))</f>
        <v/>
      </c>
      <c r="S31">
        <f>IF(COUNTA(B31:I31)=0,"Waiting for input",IF(COUNTA(B31:I31)&lt;8,"Incomplete","Calculated"))</f>
        <v/>
      </c>
    </row>
    <row r="32">
      <c r="A32" s="7" t="inlineStr">
        <is>
          <t>CUST-024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9">
        <f>IF(COUNTA(B32:I32)&lt;8,"",ROUND('Model Parameters'!$G$2+'Model Parameters'!$G$5*((B32-'Model Parameters'!$G$3)/'Model Parameters'!$G$4)+'Model Parameters'!$G$6*IF(C32="Yes",1,0)+SUMIFS('Model Parameters'!$C$2:$C$46,'Model Parameters'!$A$2:$A$46,"entry_product",'Model Parameters'!$B$2:$B$46,D32)+SUMIFS('Model Parameters'!$C$2:$C$46,'Model Parameters'!$A$2:$A$46,"sales_channel",'Model Parameters'!$B$2:$B$46,E32)+SUMIFS('Model Parameters'!$C$2:$C$46,'Model Parameters'!$A$2:$A$46,"gender",'Model Parameters'!$B$2:$B$46,F32)+SUMIFS('Model Parameters'!$C$2:$C$46,'Model Parameters'!$A$2:$A$46,"education",'Model Parameters'!$B$2:$B$46,G32)+SUMIFS('Model Parameters'!$C$2:$C$46,'Model Parameters'!$A$2:$A$46,"purchase_month",'Model Parameters'!$B$2:$B$46,TEXT(H32,"0"))+SUMIFS('Model Parameters'!$C$2:$C$46,'Model Parameters'!$A$2:$A$46,"purchase_day_of_week",'Model Parameters'!$B$2:$B$46,I32),2))</f>
        <v/>
      </c>
      <c r="K32" s="9">
        <f>IF(B32="","",'Model Parameters'!$G$5*((B32-'Model Parameters'!$G$3)/'Model Parameters'!$G$4))</f>
        <v/>
      </c>
      <c r="L32" s="9">
        <f>IF(B32="","",'Model Parameters'!$G$6*IF(C32="Yes",1,0))</f>
        <v/>
      </c>
      <c r="M32" s="9">
        <f>IF(B32="","",SUMIFS('Model Parameters'!$C$2:$C$46,'Model Parameters'!$A$2:$A$46,"entry_product",'Model Parameters'!$B$2:$B$46,D32))</f>
        <v/>
      </c>
      <c r="N32" s="9">
        <f>IF(B32="","",SUMIFS('Model Parameters'!$C$2:$C$46,'Model Parameters'!$A$2:$A$46,"sales_channel",'Model Parameters'!$B$2:$B$46,E32))</f>
        <v/>
      </c>
      <c r="O32" s="9">
        <f>IF(B32="","",SUMIFS('Model Parameters'!$C$2:$C$46,'Model Parameters'!$A$2:$A$46,"gender",'Model Parameters'!$B$2:$B$46,F32))</f>
        <v/>
      </c>
      <c r="P32" s="9">
        <f>IF(B32="","",SUMIFS('Model Parameters'!$C$2:$C$46,'Model Parameters'!$A$2:$A$46,"education",'Model Parameters'!$B$2:$B$46,G32))</f>
        <v/>
      </c>
      <c r="Q32" s="9">
        <f>IF(B32="","",SUMIFS('Model Parameters'!$C$2:$C$46,'Model Parameters'!$A$2:$A$46,"purchase_month",'Model Parameters'!$B$2:$B$46,TEXT(H32,"0")))</f>
        <v/>
      </c>
      <c r="R32" s="9">
        <f>IF(B32="","",SUMIFS('Model Parameters'!$C$2:$C$46,'Model Parameters'!$A$2:$A$46,"purchase_day_of_week",'Model Parameters'!$B$2:$B$46,I32))</f>
        <v/>
      </c>
      <c r="S32">
        <f>IF(COUNTA(B32:I32)=0,"Waiting for input",IF(COUNTA(B32:I32)&lt;8,"Incomplete","Calculated"))</f>
        <v/>
      </c>
    </row>
    <row r="33">
      <c r="A33" s="7" t="inlineStr">
        <is>
          <t>CUST-025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9">
        <f>IF(COUNTA(B33:I33)&lt;8,"",ROUND('Model Parameters'!$G$2+'Model Parameters'!$G$5*((B33-'Model Parameters'!$G$3)/'Model Parameters'!$G$4)+'Model Parameters'!$G$6*IF(C33="Yes",1,0)+SUMIFS('Model Parameters'!$C$2:$C$46,'Model Parameters'!$A$2:$A$46,"entry_product",'Model Parameters'!$B$2:$B$46,D33)+SUMIFS('Model Parameters'!$C$2:$C$46,'Model Parameters'!$A$2:$A$46,"sales_channel",'Model Parameters'!$B$2:$B$46,E33)+SUMIFS('Model Parameters'!$C$2:$C$46,'Model Parameters'!$A$2:$A$46,"gender",'Model Parameters'!$B$2:$B$46,F33)+SUMIFS('Model Parameters'!$C$2:$C$46,'Model Parameters'!$A$2:$A$46,"education",'Model Parameters'!$B$2:$B$46,G33)+SUMIFS('Model Parameters'!$C$2:$C$46,'Model Parameters'!$A$2:$A$46,"purchase_month",'Model Parameters'!$B$2:$B$46,TEXT(H33,"0"))+SUMIFS('Model Parameters'!$C$2:$C$46,'Model Parameters'!$A$2:$A$46,"purchase_day_of_week",'Model Parameters'!$B$2:$B$46,I33),2))</f>
        <v/>
      </c>
      <c r="K33" s="9">
        <f>IF(B33="","",'Model Parameters'!$G$5*((B33-'Model Parameters'!$G$3)/'Model Parameters'!$G$4))</f>
        <v/>
      </c>
      <c r="L33" s="9">
        <f>IF(B33="","",'Model Parameters'!$G$6*IF(C33="Yes",1,0))</f>
        <v/>
      </c>
      <c r="M33" s="9">
        <f>IF(B33="","",SUMIFS('Model Parameters'!$C$2:$C$46,'Model Parameters'!$A$2:$A$46,"entry_product",'Model Parameters'!$B$2:$B$46,D33))</f>
        <v/>
      </c>
      <c r="N33" s="9">
        <f>IF(B33="","",SUMIFS('Model Parameters'!$C$2:$C$46,'Model Parameters'!$A$2:$A$46,"sales_channel",'Model Parameters'!$B$2:$B$46,E33))</f>
        <v/>
      </c>
      <c r="O33" s="9">
        <f>IF(B33="","",SUMIFS('Model Parameters'!$C$2:$C$46,'Model Parameters'!$A$2:$A$46,"gender",'Model Parameters'!$B$2:$B$46,F33))</f>
        <v/>
      </c>
      <c r="P33" s="9">
        <f>IF(B33="","",SUMIFS('Model Parameters'!$C$2:$C$46,'Model Parameters'!$A$2:$A$46,"education",'Model Parameters'!$B$2:$B$46,G33))</f>
        <v/>
      </c>
      <c r="Q33" s="9">
        <f>IF(B33="","",SUMIFS('Model Parameters'!$C$2:$C$46,'Model Parameters'!$A$2:$A$46,"purchase_month",'Model Parameters'!$B$2:$B$46,TEXT(H33,"0")))</f>
        <v/>
      </c>
      <c r="R33" s="9">
        <f>IF(B33="","",SUMIFS('Model Parameters'!$C$2:$C$46,'Model Parameters'!$A$2:$A$46,"purchase_day_of_week",'Model Parameters'!$B$2:$B$46,I33))</f>
        <v/>
      </c>
      <c r="S33">
        <f>IF(COUNTA(B33:I33)=0,"Waiting for input",IF(COUNTA(B33:I33)&lt;8,"Incomplete","Calculated"))</f>
        <v/>
      </c>
    </row>
    <row r="34">
      <c r="A34" s="7" t="inlineStr">
        <is>
          <t>CUST-026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9">
        <f>IF(COUNTA(B34:I34)&lt;8,"",ROUND('Model Parameters'!$G$2+'Model Parameters'!$G$5*((B34-'Model Parameters'!$G$3)/'Model Parameters'!$G$4)+'Model Parameters'!$G$6*IF(C34="Yes",1,0)+SUMIFS('Model Parameters'!$C$2:$C$46,'Model Parameters'!$A$2:$A$46,"entry_product",'Model Parameters'!$B$2:$B$46,D34)+SUMIFS('Model Parameters'!$C$2:$C$46,'Model Parameters'!$A$2:$A$46,"sales_channel",'Model Parameters'!$B$2:$B$46,E34)+SUMIFS('Model Parameters'!$C$2:$C$46,'Model Parameters'!$A$2:$A$46,"gender",'Model Parameters'!$B$2:$B$46,F34)+SUMIFS('Model Parameters'!$C$2:$C$46,'Model Parameters'!$A$2:$A$46,"education",'Model Parameters'!$B$2:$B$46,G34)+SUMIFS('Model Parameters'!$C$2:$C$46,'Model Parameters'!$A$2:$A$46,"purchase_month",'Model Parameters'!$B$2:$B$46,TEXT(H34,"0"))+SUMIFS('Model Parameters'!$C$2:$C$46,'Model Parameters'!$A$2:$A$46,"purchase_day_of_week",'Model Parameters'!$B$2:$B$46,I34),2))</f>
        <v/>
      </c>
      <c r="K34" s="9">
        <f>IF(B34="","",'Model Parameters'!$G$5*((B34-'Model Parameters'!$G$3)/'Model Parameters'!$G$4))</f>
        <v/>
      </c>
      <c r="L34" s="9">
        <f>IF(B34="","",'Model Parameters'!$G$6*IF(C34="Yes",1,0))</f>
        <v/>
      </c>
      <c r="M34" s="9">
        <f>IF(B34="","",SUMIFS('Model Parameters'!$C$2:$C$46,'Model Parameters'!$A$2:$A$46,"entry_product",'Model Parameters'!$B$2:$B$46,D34))</f>
        <v/>
      </c>
      <c r="N34" s="9">
        <f>IF(B34="","",SUMIFS('Model Parameters'!$C$2:$C$46,'Model Parameters'!$A$2:$A$46,"sales_channel",'Model Parameters'!$B$2:$B$46,E34))</f>
        <v/>
      </c>
      <c r="O34" s="9">
        <f>IF(B34="","",SUMIFS('Model Parameters'!$C$2:$C$46,'Model Parameters'!$A$2:$A$46,"gender",'Model Parameters'!$B$2:$B$46,F34))</f>
        <v/>
      </c>
      <c r="P34" s="9">
        <f>IF(B34="","",SUMIFS('Model Parameters'!$C$2:$C$46,'Model Parameters'!$A$2:$A$46,"education",'Model Parameters'!$B$2:$B$46,G34))</f>
        <v/>
      </c>
      <c r="Q34" s="9">
        <f>IF(B34="","",SUMIFS('Model Parameters'!$C$2:$C$46,'Model Parameters'!$A$2:$A$46,"purchase_month",'Model Parameters'!$B$2:$B$46,TEXT(H34,"0")))</f>
        <v/>
      </c>
      <c r="R34" s="9">
        <f>IF(B34="","",SUMIFS('Model Parameters'!$C$2:$C$46,'Model Parameters'!$A$2:$A$46,"purchase_day_of_week",'Model Parameters'!$B$2:$B$46,I34))</f>
        <v/>
      </c>
      <c r="S34">
        <f>IF(COUNTA(B34:I34)=0,"Waiting for input",IF(COUNTA(B34:I34)&lt;8,"Incomplete","Calculated"))</f>
        <v/>
      </c>
    </row>
    <row r="35">
      <c r="A35" s="7" t="inlineStr">
        <is>
          <t>CUST-027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9">
        <f>IF(COUNTA(B35:I35)&lt;8,"",ROUND('Model Parameters'!$G$2+'Model Parameters'!$G$5*((B35-'Model Parameters'!$G$3)/'Model Parameters'!$G$4)+'Model Parameters'!$G$6*IF(C35="Yes",1,0)+SUMIFS('Model Parameters'!$C$2:$C$46,'Model Parameters'!$A$2:$A$46,"entry_product",'Model Parameters'!$B$2:$B$46,D35)+SUMIFS('Model Parameters'!$C$2:$C$46,'Model Parameters'!$A$2:$A$46,"sales_channel",'Model Parameters'!$B$2:$B$46,E35)+SUMIFS('Model Parameters'!$C$2:$C$46,'Model Parameters'!$A$2:$A$46,"gender",'Model Parameters'!$B$2:$B$46,F35)+SUMIFS('Model Parameters'!$C$2:$C$46,'Model Parameters'!$A$2:$A$46,"education",'Model Parameters'!$B$2:$B$46,G35)+SUMIFS('Model Parameters'!$C$2:$C$46,'Model Parameters'!$A$2:$A$46,"purchase_month",'Model Parameters'!$B$2:$B$46,TEXT(H35,"0"))+SUMIFS('Model Parameters'!$C$2:$C$46,'Model Parameters'!$A$2:$A$46,"purchase_day_of_week",'Model Parameters'!$B$2:$B$46,I35),2))</f>
        <v/>
      </c>
      <c r="K35" s="9">
        <f>IF(B35="","",'Model Parameters'!$G$5*((B35-'Model Parameters'!$G$3)/'Model Parameters'!$G$4))</f>
        <v/>
      </c>
      <c r="L35" s="9">
        <f>IF(B35="","",'Model Parameters'!$G$6*IF(C35="Yes",1,0))</f>
        <v/>
      </c>
      <c r="M35" s="9">
        <f>IF(B35="","",SUMIFS('Model Parameters'!$C$2:$C$46,'Model Parameters'!$A$2:$A$46,"entry_product",'Model Parameters'!$B$2:$B$46,D35))</f>
        <v/>
      </c>
      <c r="N35" s="9">
        <f>IF(B35="","",SUMIFS('Model Parameters'!$C$2:$C$46,'Model Parameters'!$A$2:$A$46,"sales_channel",'Model Parameters'!$B$2:$B$46,E35))</f>
        <v/>
      </c>
      <c r="O35" s="9">
        <f>IF(B35="","",SUMIFS('Model Parameters'!$C$2:$C$46,'Model Parameters'!$A$2:$A$46,"gender",'Model Parameters'!$B$2:$B$46,F35))</f>
        <v/>
      </c>
      <c r="P35" s="9">
        <f>IF(B35="","",SUMIFS('Model Parameters'!$C$2:$C$46,'Model Parameters'!$A$2:$A$46,"education",'Model Parameters'!$B$2:$B$46,G35))</f>
        <v/>
      </c>
      <c r="Q35" s="9">
        <f>IF(B35="","",SUMIFS('Model Parameters'!$C$2:$C$46,'Model Parameters'!$A$2:$A$46,"purchase_month",'Model Parameters'!$B$2:$B$46,TEXT(H35,"0")))</f>
        <v/>
      </c>
      <c r="R35" s="9">
        <f>IF(B35="","",SUMIFS('Model Parameters'!$C$2:$C$46,'Model Parameters'!$A$2:$A$46,"purchase_day_of_week",'Model Parameters'!$B$2:$B$46,I35))</f>
        <v/>
      </c>
      <c r="S35">
        <f>IF(COUNTA(B35:I35)=0,"Waiting for input",IF(COUNTA(B35:I35)&lt;8,"Incomplete","Calculated"))</f>
        <v/>
      </c>
    </row>
    <row r="36">
      <c r="A36" s="7" t="inlineStr">
        <is>
          <t>CUST-028</t>
        </is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9">
        <f>IF(COUNTA(B36:I36)&lt;8,"",ROUND('Model Parameters'!$G$2+'Model Parameters'!$G$5*((B36-'Model Parameters'!$G$3)/'Model Parameters'!$G$4)+'Model Parameters'!$G$6*IF(C36="Yes",1,0)+SUMIFS('Model Parameters'!$C$2:$C$46,'Model Parameters'!$A$2:$A$46,"entry_product",'Model Parameters'!$B$2:$B$46,D36)+SUMIFS('Model Parameters'!$C$2:$C$46,'Model Parameters'!$A$2:$A$46,"sales_channel",'Model Parameters'!$B$2:$B$46,E36)+SUMIFS('Model Parameters'!$C$2:$C$46,'Model Parameters'!$A$2:$A$46,"gender",'Model Parameters'!$B$2:$B$46,F36)+SUMIFS('Model Parameters'!$C$2:$C$46,'Model Parameters'!$A$2:$A$46,"education",'Model Parameters'!$B$2:$B$46,G36)+SUMIFS('Model Parameters'!$C$2:$C$46,'Model Parameters'!$A$2:$A$46,"purchase_month",'Model Parameters'!$B$2:$B$46,TEXT(H36,"0"))+SUMIFS('Model Parameters'!$C$2:$C$46,'Model Parameters'!$A$2:$A$46,"purchase_day_of_week",'Model Parameters'!$B$2:$B$46,I36),2))</f>
        <v/>
      </c>
      <c r="K36" s="9">
        <f>IF(B36="","",'Model Parameters'!$G$5*((B36-'Model Parameters'!$G$3)/'Model Parameters'!$G$4))</f>
        <v/>
      </c>
      <c r="L36" s="9">
        <f>IF(B36="","",'Model Parameters'!$G$6*IF(C36="Yes",1,0))</f>
        <v/>
      </c>
      <c r="M36" s="9">
        <f>IF(B36="","",SUMIFS('Model Parameters'!$C$2:$C$46,'Model Parameters'!$A$2:$A$46,"entry_product",'Model Parameters'!$B$2:$B$46,D36))</f>
        <v/>
      </c>
      <c r="N36" s="9">
        <f>IF(B36="","",SUMIFS('Model Parameters'!$C$2:$C$46,'Model Parameters'!$A$2:$A$46,"sales_channel",'Model Parameters'!$B$2:$B$46,E36))</f>
        <v/>
      </c>
      <c r="O36" s="9">
        <f>IF(B36="","",SUMIFS('Model Parameters'!$C$2:$C$46,'Model Parameters'!$A$2:$A$46,"gender",'Model Parameters'!$B$2:$B$46,F36))</f>
        <v/>
      </c>
      <c r="P36" s="9">
        <f>IF(B36="","",SUMIFS('Model Parameters'!$C$2:$C$46,'Model Parameters'!$A$2:$A$46,"education",'Model Parameters'!$B$2:$B$46,G36))</f>
        <v/>
      </c>
      <c r="Q36" s="9">
        <f>IF(B36="","",SUMIFS('Model Parameters'!$C$2:$C$46,'Model Parameters'!$A$2:$A$46,"purchase_month",'Model Parameters'!$B$2:$B$46,TEXT(H36,"0")))</f>
        <v/>
      </c>
      <c r="R36" s="9">
        <f>IF(B36="","",SUMIFS('Model Parameters'!$C$2:$C$46,'Model Parameters'!$A$2:$A$46,"purchase_day_of_week",'Model Parameters'!$B$2:$B$46,I36))</f>
        <v/>
      </c>
      <c r="S36">
        <f>IF(COUNTA(B36:I36)=0,"Waiting for input",IF(COUNTA(B36:I36)&lt;8,"Incomplete","Calculated"))</f>
        <v/>
      </c>
    </row>
    <row r="37">
      <c r="A37" s="7" t="inlineStr">
        <is>
          <t>CUST-029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9">
        <f>IF(COUNTA(B37:I37)&lt;8,"",ROUND('Model Parameters'!$G$2+'Model Parameters'!$G$5*((B37-'Model Parameters'!$G$3)/'Model Parameters'!$G$4)+'Model Parameters'!$G$6*IF(C37="Yes",1,0)+SUMIFS('Model Parameters'!$C$2:$C$46,'Model Parameters'!$A$2:$A$46,"entry_product",'Model Parameters'!$B$2:$B$46,D37)+SUMIFS('Model Parameters'!$C$2:$C$46,'Model Parameters'!$A$2:$A$46,"sales_channel",'Model Parameters'!$B$2:$B$46,E37)+SUMIFS('Model Parameters'!$C$2:$C$46,'Model Parameters'!$A$2:$A$46,"gender",'Model Parameters'!$B$2:$B$46,F37)+SUMIFS('Model Parameters'!$C$2:$C$46,'Model Parameters'!$A$2:$A$46,"education",'Model Parameters'!$B$2:$B$46,G37)+SUMIFS('Model Parameters'!$C$2:$C$46,'Model Parameters'!$A$2:$A$46,"purchase_month",'Model Parameters'!$B$2:$B$46,TEXT(H37,"0"))+SUMIFS('Model Parameters'!$C$2:$C$46,'Model Parameters'!$A$2:$A$46,"purchase_day_of_week",'Model Parameters'!$B$2:$B$46,I37),2))</f>
        <v/>
      </c>
      <c r="K37" s="9">
        <f>IF(B37="","",'Model Parameters'!$G$5*((B37-'Model Parameters'!$G$3)/'Model Parameters'!$G$4))</f>
        <v/>
      </c>
      <c r="L37" s="9">
        <f>IF(B37="","",'Model Parameters'!$G$6*IF(C37="Yes",1,0))</f>
        <v/>
      </c>
      <c r="M37" s="9">
        <f>IF(B37="","",SUMIFS('Model Parameters'!$C$2:$C$46,'Model Parameters'!$A$2:$A$46,"entry_product",'Model Parameters'!$B$2:$B$46,D37))</f>
        <v/>
      </c>
      <c r="N37" s="9">
        <f>IF(B37="","",SUMIFS('Model Parameters'!$C$2:$C$46,'Model Parameters'!$A$2:$A$46,"sales_channel",'Model Parameters'!$B$2:$B$46,E37))</f>
        <v/>
      </c>
      <c r="O37" s="9">
        <f>IF(B37="","",SUMIFS('Model Parameters'!$C$2:$C$46,'Model Parameters'!$A$2:$A$46,"gender",'Model Parameters'!$B$2:$B$46,F37))</f>
        <v/>
      </c>
      <c r="P37" s="9">
        <f>IF(B37="","",SUMIFS('Model Parameters'!$C$2:$C$46,'Model Parameters'!$A$2:$A$46,"education",'Model Parameters'!$B$2:$B$46,G37))</f>
        <v/>
      </c>
      <c r="Q37" s="9">
        <f>IF(B37="","",SUMIFS('Model Parameters'!$C$2:$C$46,'Model Parameters'!$A$2:$A$46,"purchase_month",'Model Parameters'!$B$2:$B$46,TEXT(H37,"0")))</f>
        <v/>
      </c>
      <c r="R37" s="9">
        <f>IF(B37="","",SUMIFS('Model Parameters'!$C$2:$C$46,'Model Parameters'!$A$2:$A$46,"purchase_day_of_week",'Model Parameters'!$B$2:$B$46,I37))</f>
        <v/>
      </c>
      <c r="S37">
        <f>IF(COUNTA(B37:I37)=0,"Waiting for input",IF(COUNTA(B37:I37)&lt;8,"Incomplete","Calculated"))</f>
        <v/>
      </c>
    </row>
    <row r="38">
      <c r="A38" s="7" t="inlineStr">
        <is>
          <t>CUST-030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9">
        <f>IF(COUNTA(B38:I38)&lt;8,"",ROUND('Model Parameters'!$G$2+'Model Parameters'!$G$5*((B38-'Model Parameters'!$G$3)/'Model Parameters'!$G$4)+'Model Parameters'!$G$6*IF(C38="Yes",1,0)+SUMIFS('Model Parameters'!$C$2:$C$46,'Model Parameters'!$A$2:$A$46,"entry_product",'Model Parameters'!$B$2:$B$46,D38)+SUMIFS('Model Parameters'!$C$2:$C$46,'Model Parameters'!$A$2:$A$46,"sales_channel",'Model Parameters'!$B$2:$B$46,E38)+SUMIFS('Model Parameters'!$C$2:$C$46,'Model Parameters'!$A$2:$A$46,"gender",'Model Parameters'!$B$2:$B$46,F38)+SUMIFS('Model Parameters'!$C$2:$C$46,'Model Parameters'!$A$2:$A$46,"education",'Model Parameters'!$B$2:$B$46,G38)+SUMIFS('Model Parameters'!$C$2:$C$46,'Model Parameters'!$A$2:$A$46,"purchase_month",'Model Parameters'!$B$2:$B$46,TEXT(H38,"0"))+SUMIFS('Model Parameters'!$C$2:$C$46,'Model Parameters'!$A$2:$A$46,"purchase_day_of_week",'Model Parameters'!$B$2:$B$46,I38),2))</f>
        <v/>
      </c>
      <c r="K38" s="9">
        <f>IF(B38="","",'Model Parameters'!$G$5*((B38-'Model Parameters'!$G$3)/'Model Parameters'!$G$4))</f>
        <v/>
      </c>
      <c r="L38" s="9">
        <f>IF(B38="","",'Model Parameters'!$G$6*IF(C38="Yes",1,0))</f>
        <v/>
      </c>
      <c r="M38" s="9">
        <f>IF(B38="","",SUMIFS('Model Parameters'!$C$2:$C$46,'Model Parameters'!$A$2:$A$46,"entry_product",'Model Parameters'!$B$2:$B$46,D38))</f>
        <v/>
      </c>
      <c r="N38" s="9">
        <f>IF(B38="","",SUMIFS('Model Parameters'!$C$2:$C$46,'Model Parameters'!$A$2:$A$46,"sales_channel",'Model Parameters'!$B$2:$B$46,E38))</f>
        <v/>
      </c>
      <c r="O38" s="9">
        <f>IF(B38="","",SUMIFS('Model Parameters'!$C$2:$C$46,'Model Parameters'!$A$2:$A$46,"gender",'Model Parameters'!$B$2:$B$46,F38))</f>
        <v/>
      </c>
      <c r="P38" s="9">
        <f>IF(B38="","",SUMIFS('Model Parameters'!$C$2:$C$46,'Model Parameters'!$A$2:$A$46,"education",'Model Parameters'!$B$2:$B$46,G38))</f>
        <v/>
      </c>
      <c r="Q38" s="9">
        <f>IF(B38="","",SUMIFS('Model Parameters'!$C$2:$C$46,'Model Parameters'!$A$2:$A$46,"purchase_month",'Model Parameters'!$B$2:$B$46,TEXT(H38,"0")))</f>
        <v/>
      </c>
      <c r="R38" s="9">
        <f>IF(B38="","",SUMIFS('Model Parameters'!$C$2:$C$46,'Model Parameters'!$A$2:$A$46,"purchase_day_of_week",'Model Parameters'!$B$2:$B$46,I38))</f>
        <v/>
      </c>
      <c r="S38">
        <f>IF(COUNTA(B38:I38)=0,"Waiting for input",IF(COUNTA(B38:I38)&lt;8,"Incomplete","Calculated"))</f>
        <v/>
      </c>
    </row>
    <row r="39">
      <c r="A39" s="7" t="inlineStr">
        <is>
          <t>CUST-031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9">
        <f>IF(COUNTA(B39:I39)&lt;8,"",ROUND('Model Parameters'!$G$2+'Model Parameters'!$G$5*((B39-'Model Parameters'!$G$3)/'Model Parameters'!$G$4)+'Model Parameters'!$G$6*IF(C39="Yes",1,0)+SUMIFS('Model Parameters'!$C$2:$C$46,'Model Parameters'!$A$2:$A$46,"entry_product",'Model Parameters'!$B$2:$B$46,D39)+SUMIFS('Model Parameters'!$C$2:$C$46,'Model Parameters'!$A$2:$A$46,"sales_channel",'Model Parameters'!$B$2:$B$46,E39)+SUMIFS('Model Parameters'!$C$2:$C$46,'Model Parameters'!$A$2:$A$46,"gender",'Model Parameters'!$B$2:$B$46,F39)+SUMIFS('Model Parameters'!$C$2:$C$46,'Model Parameters'!$A$2:$A$46,"education",'Model Parameters'!$B$2:$B$46,G39)+SUMIFS('Model Parameters'!$C$2:$C$46,'Model Parameters'!$A$2:$A$46,"purchase_month",'Model Parameters'!$B$2:$B$46,TEXT(H39,"0"))+SUMIFS('Model Parameters'!$C$2:$C$46,'Model Parameters'!$A$2:$A$46,"purchase_day_of_week",'Model Parameters'!$B$2:$B$46,I39),2))</f>
        <v/>
      </c>
      <c r="K39" s="9">
        <f>IF(B39="","",'Model Parameters'!$G$5*((B39-'Model Parameters'!$G$3)/'Model Parameters'!$G$4))</f>
        <v/>
      </c>
      <c r="L39" s="9">
        <f>IF(B39="","",'Model Parameters'!$G$6*IF(C39="Yes",1,0))</f>
        <v/>
      </c>
      <c r="M39" s="9">
        <f>IF(B39="","",SUMIFS('Model Parameters'!$C$2:$C$46,'Model Parameters'!$A$2:$A$46,"entry_product",'Model Parameters'!$B$2:$B$46,D39))</f>
        <v/>
      </c>
      <c r="N39" s="9">
        <f>IF(B39="","",SUMIFS('Model Parameters'!$C$2:$C$46,'Model Parameters'!$A$2:$A$46,"sales_channel",'Model Parameters'!$B$2:$B$46,E39))</f>
        <v/>
      </c>
      <c r="O39" s="9">
        <f>IF(B39="","",SUMIFS('Model Parameters'!$C$2:$C$46,'Model Parameters'!$A$2:$A$46,"gender",'Model Parameters'!$B$2:$B$46,F39))</f>
        <v/>
      </c>
      <c r="P39" s="9">
        <f>IF(B39="","",SUMIFS('Model Parameters'!$C$2:$C$46,'Model Parameters'!$A$2:$A$46,"education",'Model Parameters'!$B$2:$B$46,G39))</f>
        <v/>
      </c>
      <c r="Q39" s="9">
        <f>IF(B39="","",SUMIFS('Model Parameters'!$C$2:$C$46,'Model Parameters'!$A$2:$A$46,"purchase_month",'Model Parameters'!$B$2:$B$46,TEXT(H39,"0")))</f>
        <v/>
      </c>
      <c r="R39" s="9">
        <f>IF(B39="","",SUMIFS('Model Parameters'!$C$2:$C$46,'Model Parameters'!$A$2:$A$46,"purchase_day_of_week",'Model Parameters'!$B$2:$B$46,I39))</f>
        <v/>
      </c>
      <c r="S39">
        <f>IF(COUNTA(B39:I39)=0,"Waiting for input",IF(COUNTA(B39:I39)&lt;8,"Incomplete","Calculated"))</f>
        <v/>
      </c>
    </row>
    <row r="40">
      <c r="A40" s="7" t="inlineStr">
        <is>
          <t>CUST-032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9">
        <f>IF(COUNTA(B40:I40)&lt;8,"",ROUND('Model Parameters'!$G$2+'Model Parameters'!$G$5*((B40-'Model Parameters'!$G$3)/'Model Parameters'!$G$4)+'Model Parameters'!$G$6*IF(C40="Yes",1,0)+SUMIFS('Model Parameters'!$C$2:$C$46,'Model Parameters'!$A$2:$A$46,"entry_product",'Model Parameters'!$B$2:$B$46,D40)+SUMIFS('Model Parameters'!$C$2:$C$46,'Model Parameters'!$A$2:$A$46,"sales_channel",'Model Parameters'!$B$2:$B$46,E40)+SUMIFS('Model Parameters'!$C$2:$C$46,'Model Parameters'!$A$2:$A$46,"gender",'Model Parameters'!$B$2:$B$46,F40)+SUMIFS('Model Parameters'!$C$2:$C$46,'Model Parameters'!$A$2:$A$46,"education",'Model Parameters'!$B$2:$B$46,G40)+SUMIFS('Model Parameters'!$C$2:$C$46,'Model Parameters'!$A$2:$A$46,"purchase_month",'Model Parameters'!$B$2:$B$46,TEXT(H40,"0"))+SUMIFS('Model Parameters'!$C$2:$C$46,'Model Parameters'!$A$2:$A$46,"purchase_day_of_week",'Model Parameters'!$B$2:$B$46,I40),2))</f>
        <v/>
      </c>
      <c r="K40" s="9">
        <f>IF(B40="","",'Model Parameters'!$G$5*((B40-'Model Parameters'!$G$3)/'Model Parameters'!$G$4))</f>
        <v/>
      </c>
      <c r="L40" s="9">
        <f>IF(B40="","",'Model Parameters'!$G$6*IF(C40="Yes",1,0))</f>
        <v/>
      </c>
      <c r="M40" s="9">
        <f>IF(B40="","",SUMIFS('Model Parameters'!$C$2:$C$46,'Model Parameters'!$A$2:$A$46,"entry_product",'Model Parameters'!$B$2:$B$46,D40))</f>
        <v/>
      </c>
      <c r="N40" s="9">
        <f>IF(B40="","",SUMIFS('Model Parameters'!$C$2:$C$46,'Model Parameters'!$A$2:$A$46,"sales_channel",'Model Parameters'!$B$2:$B$46,E40))</f>
        <v/>
      </c>
      <c r="O40" s="9">
        <f>IF(B40="","",SUMIFS('Model Parameters'!$C$2:$C$46,'Model Parameters'!$A$2:$A$46,"gender",'Model Parameters'!$B$2:$B$46,F40))</f>
        <v/>
      </c>
      <c r="P40" s="9">
        <f>IF(B40="","",SUMIFS('Model Parameters'!$C$2:$C$46,'Model Parameters'!$A$2:$A$46,"education",'Model Parameters'!$B$2:$B$46,G40))</f>
        <v/>
      </c>
      <c r="Q40" s="9">
        <f>IF(B40="","",SUMIFS('Model Parameters'!$C$2:$C$46,'Model Parameters'!$A$2:$A$46,"purchase_month",'Model Parameters'!$B$2:$B$46,TEXT(H40,"0")))</f>
        <v/>
      </c>
      <c r="R40" s="9">
        <f>IF(B40="","",SUMIFS('Model Parameters'!$C$2:$C$46,'Model Parameters'!$A$2:$A$46,"purchase_day_of_week",'Model Parameters'!$B$2:$B$46,I40))</f>
        <v/>
      </c>
      <c r="S40">
        <f>IF(COUNTA(B40:I40)=0,"Waiting for input",IF(COUNTA(B40:I40)&lt;8,"Incomplete","Calculated"))</f>
        <v/>
      </c>
    </row>
    <row r="41">
      <c r="A41" s="7" t="inlineStr">
        <is>
          <t>CUST-033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9">
        <f>IF(COUNTA(B41:I41)&lt;8,"",ROUND('Model Parameters'!$G$2+'Model Parameters'!$G$5*((B41-'Model Parameters'!$G$3)/'Model Parameters'!$G$4)+'Model Parameters'!$G$6*IF(C41="Yes",1,0)+SUMIFS('Model Parameters'!$C$2:$C$46,'Model Parameters'!$A$2:$A$46,"entry_product",'Model Parameters'!$B$2:$B$46,D41)+SUMIFS('Model Parameters'!$C$2:$C$46,'Model Parameters'!$A$2:$A$46,"sales_channel",'Model Parameters'!$B$2:$B$46,E41)+SUMIFS('Model Parameters'!$C$2:$C$46,'Model Parameters'!$A$2:$A$46,"gender",'Model Parameters'!$B$2:$B$46,F41)+SUMIFS('Model Parameters'!$C$2:$C$46,'Model Parameters'!$A$2:$A$46,"education",'Model Parameters'!$B$2:$B$46,G41)+SUMIFS('Model Parameters'!$C$2:$C$46,'Model Parameters'!$A$2:$A$46,"purchase_month",'Model Parameters'!$B$2:$B$46,TEXT(H41,"0"))+SUMIFS('Model Parameters'!$C$2:$C$46,'Model Parameters'!$A$2:$A$46,"purchase_day_of_week",'Model Parameters'!$B$2:$B$46,I41),2))</f>
        <v/>
      </c>
      <c r="K41" s="9">
        <f>IF(B41="","",'Model Parameters'!$G$5*((B41-'Model Parameters'!$G$3)/'Model Parameters'!$G$4))</f>
        <v/>
      </c>
      <c r="L41" s="9">
        <f>IF(B41="","",'Model Parameters'!$G$6*IF(C41="Yes",1,0))</f>
        <v/>
      </c>
      <c r="M41" s="9">
        <f>IF(B41="","",SUMIFS('Model Parameters'!$C$2:$C$46,'Model Parameters'!$A$2:$A$46,"entry_product",'Model Parameters'!$B$2:$B$46,D41))</f>
        <v/>
      </c>
      <c r="N41" s="9">
        <f>IF(B41="","",SUMIFS('Model Parameters'!$C$2:$C$46,'Model Parameters'!$A$2:$A$46,"sales_channel",'Model Parameters'!$B$2:$B$46,E41))</f>
        <v/>
      </c>
      <c r="O41" s="9">
        <f>IF(B41="","",SUMIFS('Model Parameters'!$C$2:$C$46,'Model Parameters'!$A$2:$A$46,"gender",'Model Parameters'!$B$2:$B$46,F41))</f>
        <v/>
      </c>
      <c r="P41" s="9">
        <f>IF(B41="","",SUMIFS('Model Parameters'!$C$2:$C$46,'Model Parameters'!$A$2:$A$46,"education",'Model Parameters'!$B$2:$B$46,G41))</f>
        <v/>
      </c>
      <c r="Q41" s="9">
        <f>IF(B41="","",SUMIFS('Model Parameters'!$C$2:$C$46,'Model Parameters'!$A$2:$A$46,"purchase_month",'Model Parameters'!$B$2:$B$46,TEXT(H41,"0")))</f>
        <v/>
      </c>
      <c r="R41" s="9">
        <f>IF(B41="","",SUMIFS('Model Parameters'!$C$2:$C$46,'Model Parameters'!$A$2:$A$46,"purchase_day_of_week",'Model Parameters'!$B$2:$B$46,I41))</f>
        <v/>
      </c>
      <c r="S41">
        <f>IF(COUNTA(B41:I41)=0,"Waiting for input",IF(COUNTA(B41:I41)&lt;8,"Incomplete","Calculated"))</f>
        <v/>
      </c>
    </row>
    <row r="42">
      <c r="A42" s="7" t="inlineStr">
        <is>
          <t>CUST-034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9">
        <f>IF(COUNTA(B42:I42)&lt;8,"",ROUND('Model Parameters'!$G$2+'Model Parameters'!$G$5*((B42-'Model Parameters'!$G$3)/'Model Parameters'!$G$4)+'Model Parameters'!$G$6*IF(C42="Yes",1,0)+SUMIFS('Model Parameters'!$C$2:$C$46,'Model Parameters'!$A$2:$A$46,"entry_product",'Model Parameters'!$B$2:$B$46,D42)+SUMIFS('Model Parameters'!$C$2:$C$46,'Model Parameters'!$A$2:$A$46,"sales_channel",'Model Parameters'!$B$2:$B$46,E42)+SUMIFS('Model Parameters'!$C$2:$C$46,'Model Parameters'!$A$2:$A$46,"gender",'Model Parameters'!$B$2:$B$46,F42)+SUMIFS('Model Parameters'!$C$2:$C$46,'Model Parameters'!$A$2:$A$46,"education",'Model Parameters'!$B$2:$B$46,G42)+SUMIFS('Model Parameters'!$C$2:$C$46,'Model Parameters'!$A$2:$A$46,"purchase_month",'Model Parameters'!$B$2:$B$46,TEXT(H42,"0"))+SUMIFS('Model Parameters'!$C$2:$C$46,'Model Parameters'!$A$2:$A$46,"purchase_day_of_week",'Model Parameters'!$B$2:$B$46,I42),2))</f>
        <v/>
      </c>
      <c r="K42" s="9">
        <f>IF(B42="","",'Model Parameters'!$G$5*((B42-'Model Parameters'!$G$3)/'Model Parameters'!$G$4))</f>
        <v/>
      </c>
      <c r="L42" s="9">
        <f>IF(B42="","",'Model Parameters'!$G$6*IF(C42="Yes",1,0))</f>
        <v/>
      </c>
      <c r="M42" s="9">
        <f>IF(B42="","",SUMIFS('Model Parameters'!$C$2:$C$46,'Model Parameters'!$A$2:$A$46,"entry_product",'Model Parameters'!$B$2:$B$46,D42))</f>
        <v/>
      </c>
      <c r="N42" s="9">
        <f>IF(B42="","",SUMIFS('Model Parameters'!$C$2:$C$46,'Model Parameters'!$A$2:$A$46,"sales_channel",'Model Parameters'!$B$2:$B$46,E42))</f>
        <v/>
      </c>
      <c r="O42" s="9">
        <f>IF(B42="","",SUMIFS('Model Parameters'!$C$2:$C$46,'Model Parameters'!$A$2:$A$46,"gender",'Model Parameters'!$B$2:$B$46,F42))</f>
        <v/>
      </c>
      <c r="P42" s="9">
        <f>IF(B42="","",SUMIFS('Model Parameters'!$C$2:$C$46,'Model Parameters'!$A$2:$A$46,"education",'Model Parameters'!$B$2:$B$46,G42))</f>
        <v/>
      </c>
      <c r="Q42" s="9">
        <f>IF(B42="","",SUMIFS('Model Parameters'!$C$2:$C$46,'Model Parameters'!$A$2:$A$46,"purchase_month",'Model Parameters'!$B$2:$B$46,TEXT(H42,"0")))</f>
        <v/>
      </c>
      <c r="R42" s="9">
        <f>IF(B42="","",SUMIFS('Model Parameters'!$C$2:$C$46,'Model Parameters'!$A$2:$A$46,"purchase_day_of_week",'Model Parameters'!$B$2:$B$46,I42))</f>
        <v/>
      </c>
      <c r="S42">
        <f>IF(COUNTA(B42:I42)=0,"Waiting for input",IF(COUNTA(B42:I42)&lt;8,"Incomplete","Calculated"))</f>
        <v/>
      </c>
    </row>
    <row r="43">
      <c r="A43" s="7" t="inlineStr">
        <is>
          <t>CUST-035</t>
        </is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9">
        <f>IF(COUNTA(B43:I43)&lt;8,"",ROUND('Model Parameters'!$G$2+'Model Parameters'!$G$5*((B43-'Model Parameters'!$G$3)/'Model Parameters'!$G$4)+'Model Parameters'!$G$6*IF(C43="Yes",1,0)+SUMIFS('Model Parameters'!$C$2:$C$46,'Model Parameters'!$A$2:$A$46,"entry_product",'Model Parameters'!$B$2:$B$46,D43)+SUMIFS('Model Parameters'!$C$2:$C$46,'Model Parameters'!$A$2:$A$46,"sales_channel",'Model Parameters'!$B$2:$B$46,E43)+SUMIFS('Model Parameters'!$C$2:$C$46,'Model Parameters'!$A$2:$A$46,"gender",'Model Parameters'!$B$2:$B$46,F43)+SUMIFS('Model Parameters'!$C$2:$C$46,'Model Parameters'!$A$2:$A$46,"education",'Model Parameters'!$B$2:$B$46,G43)+SUMIFS('Model Parameters'!$C$2:$C$46,'Model Parameters'!$A$2:$A$46,"purchase_month",'Model Parameters'!$B$2:$B$46,TEXT(H43,"0"))+SUMIFS('Model Parameters'!$C$2:$C$46,'Model Parameters'!$A$2:$A$46,"purchase_day_of_week",'Model Parameters'!$B$2:$B$46,I43),2))</f>
        <v/>
      </c>
      <c r="K43" s="9">
        <f>IF(B43="","",'Model Parameters'!$G$5*((B43-'Model Parameters'!$G$3)/'Model Parameters'!$G$4))</f>
        <v/>
      </c>
      <c r="L43" s="9">
        <f>IF(B43="","",'Model Parameters'!$G$6*IF(C43="Yes",1,0))</f>
        <v/>
      </c>
      <c r="M43" s="9">
        <f>IF(B43="","",SUMIFS('Model Parameters'!$C$2:$C$46,'Model Parameters'!$A$2:$A$46,"entry_product",'Model Parameters'!$B$2:$B$46,D43))</f>
        <v/>
      </c>
      <c r="N43" s="9">
        <f>IF(B43="","",SUMIFS('Model Parameters'!$C$2:$C$46,'Model Parameters'!$A$2:$A$46,"sales_channel",'Model Parameters'!$B$2:$B$46,E43))</f>
        <v/>
      </c>
      <c r="O43" s="9">
        <f>IF(B43="","",SUMIFS('Model Parameters'!$C$2:$C$46,'Model Parameters'!$A$2:$A$46,"gender",'Model Parameters'!$B$2:$B$46,F43))</f>
        <v/>
      </c>
      <c r="P43" s="9">
        <f>IF(B43="","",SUMIFS('Model Parameters'!$C$2:$C$46,'Model Parameters'!$A$2:$A$46,"education",'Model Parameters'!$B$2:$B$46,G43))</f>
        <v/>
      </c>
      <c r="Q43" s="9">
        <f>IF(B43="","",SUMIFS('Model Parameters'!$C$2:$C$46,'Model Parameters'!$A$2:$A$46,"purchase_month",'Model Parameters'!$B$2:$B$46,TEXT(H43,"0")))</f>
        <v/>
      </c>
      <c r="R43" s="9">
        <f>IF(B43="","",SUMIFS('Model Parameters'!$C$2:$C$46,'Model Parameters'!$A$2:$A$46,"purchase_day_of_week",'Model Parameters'!$B$2:$B$46,I43))</f>
        <v/>
      </c>
      <c r="S43">
        <f>IF(COUNTA(B43:I43)=0,"Waiting for input",IF(COUNTA(B43:I43)&lt;8,"Incomplete","Calculated"))</f>
        <v/>
      </c>
    </row>
    <row r="44">
      <c r="A44" s="7" t="inlineStr">
        <is>
          <t>CUST-036</t>
        </is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9">
        <f>IF(COUNTA(B44:I44)&lt;8,"",ROUND('Model Parameters'!$G$2+'Model Parameters'!$G$5*((B44-'Model Parameters'!$G$3)/'Model Parameters'!$G$4)+'Model Parameters'!$G$6*IF(C44="Yes",1,0)+SUMIFS('Model Parameters'!$C$2:$C$46,'Model Parameters'!$A$2:$A$46,"entry_product",'Model Parameters'!$B$2:$B$46,D44)+SUMIFS('Model Parameters'!$C$2:$C$46,'Model Parameters'!$A$2:$A$46,"sales_channel",'Model Parameters'!$B$2:$B$46,E44)+SUMIFS('Model Parameters'!$C$2:$C$46,'Model Parameters'!$A$2:$A$46,"gender",'Model Parameters'!$B$2:$B$46,F44)+SUMIFS('Model Parameters'!$C$2:$C$46,'Model Parameters'!$A$2:$A$46,"education",'Model Parameters'!$B$2:$B$46,G44)+SUMIFS('Model Parameters'!$C$2:$C$46,'Model Parameters'!$A$2:$A$46,"purchase_month",'Model Parameters'!$B$2:$B$46,TEXT(H44,"0"))+SUMIFS('Model Parameters'!$C$2:$C$46,'Model Parameters'!$A$2:$A$46,"purchase_day_of_week",'Model Parameters'!$B$2:$B$46,I44),2))</f>
        <v/>
      </c>
      <c r="K44" s="9">
        <f>IF(B44="","",'Model Parameters'!$G$5*((B44-'Model Parameters'!$G$3)/'Model Parameters'!$G$4))</f>
        <v/>
      </c>
      <c r="L44" s="9">
        <f>IF(B44="","",'Model Parameters'!$G$6*IF(C44="Yes",1,0))</f>
        <v/>
      </c>
      <c r="M44" s="9">
        <f>IF(B44="","",SUMIFS('Model Parameters'!$C$2:$C$46,'Model Parameters'!$A$2:$A$46,"entry_product",'Model Parameters'!$B$2:$B$46,D44))</f>
        <v/>
      </c>
      <c r="N44" s="9">
        <f>IF(B44="","",SUMIFS('Model Parameters'!$C$2:$C$46,'Model Parameters'!$A$2:$A$46,"sales_channel",'Model Parameters'!$B$2:$B$46,E44))</f>
        <v/>
      </c>
      <c r="O44" s="9">
        <f>IF(B44="","",SUMIFS('Model Parameters'!$C$2:$C$46,'Model Parameters'!$A$2:$A$46,"gender",'Model Parameters'!$B$2:$B$46,F44))</f>
        <v/>
      </c>
      <c r="P44" s="9">
        <f>IF(B44="","",SUMIFS('Model Parameters'!$C$2:$C$46,'Model Parameters'!$A$2:$A$46,"education",'Model Parameters'!$B$2:$B$46,G44))</f>
        <v/>
      </c>
      <c r="Q44" s="9">
        <f>IF(B44="","",SUMIFS('Model Parameters'!$C$2:$C$46,'Model Parameters'!$A$2:$A$46,"purchase_month",'Model Parameters'!$B$2:$B$46,TEXT(H44,"0")))</f>
        <v/>
      </c>
      <c r="R44" s="9">
        <f>IF(B44="","",SUMIFS('Model Parameters'!$C$2:$C$46,'Model Parameters'!$A$2:$A$46,"purchase_day_of_week",'Model Parameters'!$B$2:$B$46,I44))</f>
        <v/>
      </c>
      <c r="S44">
        <f>IF(COUNTA(B44:I44)=0,"Waiting for input",IF(COUNTA(B44:I44)&lt;8,"Incomplete","Calculated"))</f>
        <v/>
      </c>
    </row>
    <row r="45">
      <c r="A45" s="7" t="inlineStr">
        <is>
          <t>CUST-037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9">
        <f>IF(COUNTA(B45:I45)&lt;8,"",ROUND('Model Parameters'!$G$2+'Model Parameters'!$G$5*((B45-'Model Parameters'!$G$3)/'Model Parameters'!$G$4)+'Model Parameters'!$G$6*IF(C45="Yes",1,0)+SUMIFS('Model Parameters'!$C$2:$C$46,'Model Parameters'!$A$2:$A$46,"entry_product",'Model Parameters'!$B$2:$B$46,D45)+SUMIFS('Model Parameters'!$C$2:$C$46,'Model Parameters'!$A$2:$A$46,"sales_channel",'Model Parameters'!$B$2:$B$46,E45)+SUMIFS('Model Parameters'!$C$2:$C$46,'Model Parameters'!$A$2:$A$46,"gender",'Model Parameters'!$B$2:$B$46,F45)+SUMIFS('Model Parameters'!$C$2:$C$46,'Model Parameters'!$A$2:$A$46,"education",'Model Parameters'!$B$2:$B$46,G45)+SUMIFS('Model Parameters'!$C$2:$C$46,'Model Parameters'!$A$2:$A$46,"purchase_month",'Model Parameters'!$B$2:$B$46,TEXT(H45,"0"))+SUMIFS('Model Parameters'!$C$2:$C$46,'Model Parameters'!$A$2:$A$46,"purchase_day_of_week",'Model Parameters'!$B$2:$B$46,I45),2))</f>
        <v/>
      </c>
      <c r="K45" s="9">
        <f>IF(B45="","",'Model Parameters'!$G$5*((B45-'Model Parameters'!$G$3)/'Model Parameters'!$G$4))</f>
        <v/>
      </c>
      <c r="L45" s="9">
        <f>IF(B45="","",'Model Parameters'!$G$6*IF(C45="Yes",1,0))</f>
        <v/>
      </c>
      <c r="M45" s="9">
        <f>IF(B45="","",SUMIFS('Model Parameters'!$C$2:$C$46,'Model Parameters'!$A$2:$A$46,"entry_product",'Model Parameters'!$B$2:$B$46,D45))</f>
        <v/>
      </c>
      <c r="N45" s="9">
        <f>IF(B45="","",SUMIFS('Model Parameters'!$C$2:$C$46,'Model Parameters'!$A$2:$A$46,"sales_channel",'Model Parameters'!$B$2:$B$46,E45))</f>
        <v/>
      </c>
      <c r="O45" s="9">
        <f>IF(B45="","",SUMIFS('Model Parameters'!$C$2:$C$46,'Model Parameters'!$A$2:$A$46,"gender",'Model Parameters'!$B$2:$B$46,F45))</f>
        <v/>
      </c>
      <c r="P45" s="9">
        <f>IF(B45="","",SUMIFS('Model Parameters'!$C$2:$C$46,'Model Parameters'!$A$2:$A$46,"education",'Model Parameters'!$B$2:$B$46,G45))</f>
        <v/>
      </c>
      <c r="Q45" s="9">
        <f>IF(B45="","",SUMIFS('Model Parameters'!$C$2:$C$46,'Model Parameters'!$A$2:$A$46,"purchase_month",'Model Parameters'!$B$2:$B$46,TEXT(H45,"0")))</f>
        <v/>
      </c>
      <c r="R45" s="9">
        <f>IF(B45="","",SUMIFS('Model Parameters'!$C$2:$C$46,'Model Parameters'!$A$2:$A$46,"purchase_day_of_week",'Model Parameters'!$B$2:$B$46,I45))</f>
        <v/>
      </c>
      <c r="S45">
        <f>IF(COUNTA(B45:I45)=0,"Waiting for input",IF(COUNTA(B45:I45)&lt;8,"Incomplete","Calculated"))</f>
        <v/>
      </c>
    </row>
    <row r="46">
      <c r="A46" s="7" t="inlineStr">
        <is>
          <t>CUST-038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9">
        <f>IF(COUNTA(B46:I46)&lt;8,"",ROUND('Model Parameters'!$G$2+'Model Parameters'!$G$5*((B46-'Model Parameters'!$G$3)/'Model Parameters'!$G$4)+'Model Parameters'!$G$6*IF(C46="Yes",1,0)+SUMIFS('Model Parameters'!$C$2:$C$46,'Model Parameters'!$A$2:$A$46,"entry_product",'Model Parameters'!$B$2:$B$46,D46)+SUMIFS('Model Parameters'!$C$2:$C$46,'Model Parameters'!$A$2:$A$46,"sales_channel",'Model Parameters'!$B$2:$B$46,E46)+SUMIFS('Model Parameters'!$C$2:$C$46,'Model Parameters'!$A$2:$A$46,"gender",'Model Parameters'!$B$2:$B$46,F46)+SUMIFS('Model Parameters'!$C$2:$C$46,'Model Parameters'!$A$2:$A$46,"education",'Model Parameters'!$B$2:$B$46,G46)+SUMIFS('Model Parameters'!$C$2:$C$46,'Model Parameters'!$A$2:$A$46,"purchase_month",'Model Parameters'!$B$2:$B$46,TEXT(H46,"0"))+SUMIFS('Model Parameters'!$C$2:$C$46,'Model Parameters'!$A$2:$A$46,"purchase_day_of_week",'Model Parameters'!$B$2:$B$46,I46),2))</f>
        <v/>
      </c>
      <c r="K46" s="9">
        <f>IF(B46="","",'Model Parameters'!$G$5*((B46-'Model Parameters'!$G$3)/'Model Parameters'!$G$4))</f>
        <v/>
      </c>
      <c r="L46" s="9">
        <f>IF(B46="","",'Model Parameters'!$G$6*IF(C46="Yes",1,0))</f>
        <v/>
      </c>
      <c r="M46" s="9">
        <f>IF(B46="","",SUMIFS('Model Parameters'!$C$2:$C$46,'Model Parameters'!$A$2:$A$46,"entry_product",'Model Parameters'!$B$2:$B$46,D46))</f>
        <v/>
      </c>
      <c r="N46" s="9">
        <f>IF(B46="","",SUMIFS('Model Parameters'!$C$2:$C$46,'Model Parameters'!$A$2:$A$46,"sales_channel",'Model Parameters'!$B$2:$B$46,E46))</f>
        <v/>
      </c>
      <c r="O46" s="9">
        <f>IF(B46="","",SUMIFS('Model Parameters'!$C$2:$C$46,'Model Parameters'!$A$2:$A$46,"gender",'Model Parameters'!$B$2:$B$46,F46))</f>
        <v/>
      </c>
      <c r="P46" s="9">
        <f>IF(B46="","",SUMIFS('Model Parameters'!$C$2:$C$46,'Model Parameters'!$A$2:$A$46,"education",'Model Parameters'!$B$2:$B$46,G46))</f>
        <v/>
      </c>
      <c r="Q46" s="9">
        <f>IF(B46="","",SUMIFS('Model Parameters'!$C$2:$C$46,'Model Parameters'!$A$2:$A$46,"purchase_month",'Model Parameters'!$B$2:$B$46,TEXT(H46,"0")))</f>
        <v/>
      </c>
      <c r="R46" s="9">
        <f>IF(B46="","",SUMIFS('Model Parameters'!$C$2:$C$46,'Model Parameters'!$A$2:$A$46,"purchase_day_of_week",'Model Parameters'!$B$2:$B$46,I46))</f>
        <v/>
      </c>
      <c r="S46">
        <f>IF(COUNTA(B46:I46)=0,"Waiting for input",IF(COUNTA(B46:I46)&lt;8,"Incomplete","Calculated"))</f>
        <v/>
      </c>
    </row>
    <row r="47">
      <c r="A47" s="7" t="inlineStr">
        <is>
          <t>CUST-039</t>
        </is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9">
        <f>IF(COUNTA(B47:I47)&lt;8,"",ROUND('Model Parameters'!$G$2+'Model Parameters'!$G$5*((B47-'Model Parameters'!$G$3)/'Model Parameters'!$G$4)+'Model Parameters'!$G$6*IF(C47="Yes",1,0)+SUMIFS('Model Parameters'!$C$2:$C$46,'Model Parameters'!$A$2:$A$46,"entry_product",'Model Parameters'!$B$2:$B$46,D47)+SUMIFS('Model Parameters'!$C$2:$C$46,'Model Parameters'!$A$2:$A$46,"sales_channel",'Model Parameters'!$B$2:$B$46,E47)+SUMIFS('Model Parameters'!$C$2:$C$46,'Model Parameters'!$A$2:$A$46,"gender",'Model Parameters'!$B$2:$B$46,F47)+SUMIFS('Model Parameters'!$C$2:$C$46,'Model Parameters'!$A$2:$A$46,"education",'Model Parameters'!$B$2:$B$46,G47)+SUMIFS('Model Parameters'!$C$2:$C$46,'Model Parameters'!$A$2:$A$46,"purchase_month",'Model Parameters'!$B$2:$B$46,TEXT(H47,"0"))+SUMIFS('Model Parameters'!$C$2:$C$46,'Model Parameters'!$A$2:$A$46,"purchase_day_of_week",'Model Parameters'!$B$2:$B$46,I47),2))</f>
        <v/>
      </c>
      <c r="K47" s="9">
        <f>IF(B47="","",'Model Parameters'!$G$5*((B47-'Model Parameters'!$G$3)/'Model Parameters'!$G$4))</f>
        <v/>
      </c>
      <c r="L47" s="9">
        <f>IF(B47="","",'Model Parameters'!$G$6*IF(C47="Yes",1,0))</f>
        <v/>
      </c>
      <c r="M47" s="9">
        <f>IF(B47="","",SUMIFS('Model Parameters'!$C$2:$C$46,'Model Parameters'!$A$2:$A$46,"entry_product",'Model Parameters'!$B$2:$B$46,D47))</f>
        <v/>
      </c>
      <c r="N47" s="9">
        <f>IF(B47="","",SUMIFS('Model Parameters'!$C$2:$C$46,'Model Parameters'!$A$2:$A$46,"sales_channel",'Model Parameters'!$B$2:$B$46,E47))</f>
        <v/>
      </c>
      <c r="O47" s="9">
        <f>IF(B47="","",SUMIFS('Model Parameters'!$C$2:$C$46,'Model Parameters'!$A$2:$A$46,"gender",'Model Parameters'!$B$2:$B$46,F47))</f>
        <v/>
      </c>
      <c r="P47" s="9">
        <f>IF(B47="","",SUMIFS('Model Parameters'!$C$2:$C$46,'Model Parameters'!$A$2:$A$46,"education",'Model Parameters'!$B$2:$B$46,G47))</f>
        <v/>
      </c>
      <c r="Q47" s="9">
        <f>IF(B47="","",SUMIFS('Model Parameters'!$C$2:$C$46,'Model Parameters'!$A$2:$A$46,"purchase_month",'Model Parameters'!$B$2:$B$46,TEXT(H47,"0")))</f>
        <v/>
      </c>
      <c r="R47" s="9">
        <f>IF(B47="","",SUMIFS('Model Parameters'!$C$2:$C$46,'Model Parameters'!$A$2:$A$46,"purchase_day_of_week",'Model Parameters'!$B$2:$B$46,I47))</f>
        <v/>
      </c>
      <c r="S47">
        <f>IF(COUNTA(B47:I47)=0,"Waiting for input",IF(COUNTA(B47:I47)&lt;8,"Incomplete","Calculated"))</f>
        <v/>
      </c>
    </row>
    <row r="48">
      <c r="A48" s="7" t="inlineStr">
        <is>
          <t>CUST-040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9">
        <f>IF(COUNTA(B48:I48)&lt;8,"",ROUND('Model Parameters'!$G$2+'Model Parameters'!$G$5*((B48-'Model Parameters'!$G$3)/'Model Parameters'!$G$4)+'Model Parameters'!$G$6*IF(C48="Yes",1,0)+SUMIFS('Model Parameters'!$C$2:$C$46,'Model Parameters'!$A$2:$A$46,"entry_product",'Model Parameters'!$B$2:$B$46,D48)+SUMIFS('Model Parameters'!$C$2:$C$46,'Model Parameters'!$A$2:$A$46,"sales_channel",'Model Parameters'!$B$2:$B$46,E48)+SUMIFS('Model Parameters'!$C$2:$C$46,'Model Parameters'!$A$2:$A$46,"gender",'Model Parameters'!$B$2:$B$46,F48)+SUMIFS('Model Parameters'!$C$2:$C$46,'Model Parameters'!$A$2:$A$46,"education",'Model Parameters'!$B$2:$B$46,G48)+SUMIFS('Model Parameters'!$C$2:$C$46,'Model Parameters'!$A$2:$A$46,"purchase_month",'Model Parameters'!$B$2:$B$46,TEXT(H48,"0"))+SUMIFS('Model Parameters'!$C$2:$C$46,'Model Parameters'!$A$2:$A$46,"purchase_day_of_week",'Model Parameters'!$B$2:$B$46,I48),2))</f>
        <v/>
      </c>
      <c r="K48" s="9">
        <f>IF(B48="","",'Model Parameters'!$G$5*((B48-'Model Parameters'!$G$3)/'Model Parameters'!$G$4))</f>
        <v/>
      </c>
      <c r="L48" s="9">
        <f>IF(B48="","",'Model Parameters'!$G$6*IF(C48="Yes",1,0))</f>
        <v/>
      </c>
      <c r="M48" s="9">
        <f>IF(B48="","",SUMIFS('Model Parameters'!$C$2:$C$46,'Model Parameters'!$A$2:$A$46,"entry_product",'Model Parameters'!$B$2:$B$46,D48))</f>
        <v/>
      </c>
      <c r="N48" s="9">
        <f>IF(B48="","",SUMIFS('Model Parameters'!$C$2:$C$46,'Model Parameters'!$A$2:$A$46,"sales_channel",'Model Parameters'!$B$2:$B$46,E48))</f>
        <v/>
      </c>
      <c r="O48" s="9">
        <f>IF(B48="","",SUMIFS('Model Parameters'!$C$2:$C$46,'Model Parameters'!$A$2:$A$46,"gender",'Model Parameters'!$B$2:$B$46,F48))</f>
        <v/>
      </c>
      <c r="P48" s="9">
        <f>IF(B48="","",SUMIFS('Model Parameters'!$C$2:$C$46,'Model Parameters'!$A$2:$A$46,"education",'Model Parameters'!$B$2:$B$46,G48))</f>
        <v/>
      </c>
      <c r="Q48" s="9">
        <f>IF(B48="","",SUMIFS('Model Parameters'!$C$2:$C$46,'Model Parameters'!$A$2:$A$46,"purchase_month",'Model Parameters'!$B$2:$B$46,TEXT(H48,"0")))</f>
        <v/>
      </c>
      <c r="R48" s="9">
        <f>IF(B48="","",SUMIFS('Model Parameters'!$C$2:$C$46,'Model Parameters'!$A$2:$A$46,"purchase_day_of_week",'Model Parameters'!$B$2:$B$46,I48))</f>
        <v/>
      </c>
      <c r="S48">
        <f>IF(COUNTA(B48:I48)=0,"Waiting for input",IF(COUNTA(B48:I48)&lt;8,"Incomplete","Calculated"))</f>
        <v/>
      </c>
    </row>
    <row r="49">
      <c r="A49" s="7" t="inlineStr">
        <is>
          <t>CUST-041</t>
        </is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9">
        <f>IF(COUNTA(B49:I49)&lt;8,"",ROUND('Model Parameters'!$G$2+'Model Parameters'!$G$5*((B49-'Model Parameters'!$G$3)/'Model Parameters'!$G$4)+'Model Parameters'!$G$6*IF(C49="Yes",1,0)+SUMIFS('Model Parameters'!$C$2:$C$46,'Model Parameters'!$A$2:$A$46,"entry_product",'Model Parameters'!$B$2:$B$46,D49)+SUMIFS('Model Parameters'!$C$2:$C$46,'Model Parameters'!$A$2:$A$46,"sales_channel",'Model Parameters'!$B$2:$B$46,E49)+SUMIFS('Model Parameters'!$C$2:$C$46,'Model Parameters'!$A$2:$A$46,"gender",'Model Parameters'!$B$2:$B$46,F49)+SUMIFS('Model Parameters'!$C$2:$C$46,'Model Parameters'!$A$2:$A$46,"education",'Model Parameters'!$B$2:$B$46,G49)+SUMIFS('Model Parameters'!$C$2:$C$46,'Model Parameters'!$A$2:$A$46,"purchase_month",'Model Parameters'!$B$2:$B$46,TEXT(H49,"0"))+SUMIFS('Model Parameters'!$C$2:$C$46,'Model Parameters'!$A$2:$A$46,"purchase_day_of_week",'Model Parameters'!$B$2:$B$46,I49),2))</f>
        <v/>
      </c>
      <c r="K49" s="9">
        <f>IF(B49="","",'Model Parameters'!$G$5*((B49-'Model Parameters'!$G$3)/'Model Parameters'!$G$4))</f>
        <v/>
      </c>
      <c r="L49" s="9">
        <f>IF(B49="","",'Model Parameters'!$G$6*IF(C49="Yes",1,0))</f>
        <v/>
      </c>
      <c r="M49" s="9">
        <f>IF(B49="","",SUMIFS('Model Parameters'!$C$2:$C$46,'Model Parameters'!$A$2:$A$46,"entry_product",'Model Parameters'!$B$2:$B$46,D49))</f>
        <v/>
      </c>
      <c r="N49" s="9">
        <f>IF(B49="","",SUMIFS('Model Parameters'!$C$2:$C$46,'Model Parameters'!$A$2:$A$46,"sales_channel",'Model Parameters'!$B$2:$B$46,E49))</f>
        <v/>
      </c>
      <c r="O49" s="9">
        <f>IF(B49="","",SUMIFS('Model Parameters'!$C$2:$C$46,'Model Parameters'!$A$2:$A$46,"gender",'Model Parameters'!$B$2:$B$46,F49))</f>
        <v/>
      </c>
      <c r="P49" s="9">
        <f>IF(B49="","",SUMIFS('Model Parameters'!$C$2:$C$46,'Model Parameters'!$A$2:$A$46,"education",'Model Parameters'!$B$2:$B$46,G49))</f>
        <v/>
      </c>
      <c r="Q49" s="9">
        <f>IF(B49="","",SUMIFS('Model Parameters'!$C$2:$C$46,'Model Parameters'!$A$2:$A$46,"purchase_month",'Model Parameters'!$B$2:$B$46,TEXT(H49,"0")))</f>
        <v/>
      </c>
      <c r="R49" s="9">
        <f>IF(B49="","",SUMIFS('Model Parameters'!$C$2:$C$46,'Model Parameters'!$A$2:$A$46,"purchase_day_of_week",'Model Parameters'!$B$2:$B$46,I49))</f>
        <v/>
      </c>
      <c r="S49">
        <f>IF(COUNTA(B49:I49)=0,"Waiting for input",IF(COUNTA(B49:I49)&lt;8,"Incomplete","Calculated"))</f>
        <v/>
      </c>
    </row>
    <row r="50">
      <c r="A50" s="7" t="inlineStr">
        <is>
          <t>CUST-042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9">
        <f>IF(COUNTA(B50:I50)&lt;8,"",ROUND('Model Parameters'!$G$2+'Model Parameters'!$G$5*((B50-'Model Parameters'!$G$3)/'Model Parameters'!$G$4)+'Model Parameters'!$G$6*IF(C50="Yes",1,0)+SUMIFS('Model Parameters'!$C$2:$C$46,'Model Parameters'!$A$2:$A$46,"entry_product",'Model Parameters'!$B$2:$B$46,D50)+SUMIFS('Model Parameters'!$C$2:$C$46,'Model Parameters'!$A$2:$A$46,"sales_channel",'Model Parameters'!$B$2:$B$46,E50)+SUMIFS('Model Parameters'!$C$2:$C$46,'Model Parameters'!$A$2:$A$46,"gender",'Model Parameters'!$B$2:$B$46,F50)+SUMIFS('Model Parameters'!$C$2:$C$46,'Model Parameters'!$A$2:$A$46,"education",'Model Parameters'!$B$2:$B$46,G50)+SUMIFS('Model Parameters'!$C$2:$C$46,'Model Parameters'!$A$2:$A$46,"purchase_month",'Model Parameters'!$B$2:$B$46,TEXT(H50,"0"))+SUMIFS('Model Parameters'!$C$2:$C$46,'Model Parameters'!$A$2:$A$46,"purchase_day_of_week",'Model Parameters'!$B$2:$B$46,I50),2))</f>
        <v/>
      </c>
      <c r="K50" s="9">
        <f>IF(B50="","",'Model Parameters'!$G$5*((B50-'Model Parameters'!$G$3)/'Model Parameters'!$G$4))</f>
        <v/>
      </c>
      <c r="L50" s="9">
        <f>IF(B50="","",'Model Parameters'!$G$6*IF(C50="Yes",1,0))</f>
        <v/>
      </c>
      <c r="M50" s="9">
        <f>IF(B50="","",SUMIFS('Model Parameters'!$C$2:$C$46,'Model Parameters'!$A$2:$A$46,"entry_product",'Model Parameters'!$B$2:$B$46,D50))</f>
        <v/>
      </c>
      <c r="N50" s="9">
        <f>IF(B50="","",SUMIFS('Model Parameters'!$C$2:$C$46,'Model Parameters'!$A$2:$A$46,"sales_channel",'Model Parameters'!$B$2:$B$46,E50))</f>
        <v/>
      </c>
      <c r="O50" s="9">
        <f>IF(B50="","",SUMIFS('Model Parameters'!$C$2:$C$46,'Model Parameters'!$A$2:$A$46,"gender",'Model Parameters'!$B$2:$B$46,F50))</f>
        <v/>
      </c>
      <c r="P50" s="9">
        <f>IF(B50="","",SUMIFS('Model Parameters'!$C$2:$C$46,'Model Parameters'!$A$2:$A$46,"education",'Model Parameters'!$B$2:$B$46,G50))</f>
        <v/>
      </c>
      <c r="Q50" s="9">
        <f>IF(B50="","",SUMIFS('Model Parameters'!$C$2:$C$46,'Model Parameters'!$A$2:$A$46,"purchase_month",'Model Parameters'!$B$2:$B$46,TEXT(H50,"0")))</f>
        <v/>
      </c>
      <c r="R50" s="9">
        <f>IF(B50="","",SUMIFS('Model Parameters'!$C$2:$C$46,'Model Parameters'!$A$2:$A$46,"purchase_day_of_week",'Model Parameters'!$B$2:$B$46,I50))</f>
        <v/>
      </c>
      <c r="S50">
        <f>IF(COUNTA(B50:I50)=0,"Waiting for input",IF(COUNTA(B50:I50)&lt;8,"Incomplete","Calculated"))</f>
        <v/>
      </c>
    </row>
    <row r="51">
      <c r="A51" s="7" t="inlineStr">
        <is>
          <t>CUST-043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9">
        <f>IF(COUNTA(B51:I51)&lt;8,"",ROUND('Model Parameters'!$G$2+'Model Parameters'!$G$5*((B51-'Model Parameters'!$G$3)/'Model Parameters'!$G$4)+'Model Parameters'!$G$6*IF(C51="Yes",1,0)+SUMIFS('Model Parameters'!$C$2:$C$46,'Model Parameters'!$A$2:$A$46,"entry_product",'Model Parameters'!$B$2:$B$46,D51)+SUMIFS('Model Parameters'!$C$2:$C$46,'Model Parameters'!$A$2:$A$46,"sales_channel",'Model Parameters'!$B$2:$B$46,E51)+SUMIFS('Model Parameters'!$C$2:$C$46,'Model Parameters'!$A$2:$A$46,"gender",'Model Parameters'!$B$2:$B$46,F51)+SUMIFS('Model Parameters'!$C$2:$C$46,'Model Parameters'!$A$2:$A$46,"education",'Model Parameters'!$B$2:$B$46,G51)+SUMIFS('Model Parameters'!$C$2:$C$46,'Model Parameters'!$A$2:$A$46,"purchase_month",'Model Parameters'!$B$2:$B$46,TEXT(H51,"0"))+SUMIFS('Model Parameters'!$C$2:$C$46,'Model Parameters'!$A$2:$A$46,"purchase_day_of_week",'Model Parameters'!$B$2:$B$46,I51),2))</f>
        <v/>
      </c>
      <c r="K51" s="9">
        <f>IF(B51="","",'Model Parameters'!$G$5*((B51-'Model Parameters'!$G$3)/'Model Parameters'!$G$4))</f>
        <v/>
      </c>
      <c r="L51" s="9">
        <f>IF(B51="","",'Model Parameters'!$G$6*IF(C51="Yes",1,0))</f>
        <v/>
      </c>
      <c r="M51" s="9">
        <f>IF(B51="","",SUMIFS('Model Parameters'!$C$2:$C$46,'Model Parameters'!$A$2:$A$46,"entry_product",'Model Parameters'!$B$2:$B$46,D51))</f>
        <v/>
      </c>
      <c r="N51" s="9">
        <f>IF(B51="","",SUMIFS('Model Parameters'!$C$2:$C$46,'Model Parameters'!$A$2:$A$46,"sales_channel",'Model Parameters'!$B$2:$B$46,E51))</f>
        <v/>
      </c>
      <c r="O51" s="9">
        <f>IF(B51="","",SUMIFS('Model Parameters'!$C$2:$C$46,'Model Parameters'!$A$2:$A$46,"gender",'Model Parameters'!$B$2:$B$46,F51))</f>
        <v/>
      </c>
      <c r="P51" s="9">
        <f>IF(B51="","",SUMIFS('Model Parameters'!$C$2:$C$46,'Model Parameters'!$A$2:$A$46,"education",'Model Parameters'!$B$2:$B$46,G51))</f>
        <v/>
      </c>
      <c r="Q51" s="9">
        <f>IF(B51="","",SUMIFS('Model Parameters'!$C$2:$C$46,'Model Parameters'!$A$2:$A$46,"purchase_month",'Model Parameters'!$B$2:$B$46,TEXT(H51,"0")))</f>
        <v/>
      </c>
      <c r="R51" s="9">
        <f>IF(B51="","",SUMIFS('Model Parameters'!$C$2:$C$46,'Model Parameters'!$A$2:$A$46,"purchase_day_of_week",'Model Parameters'!$B$2:$B$46,I51))</f>
        <v/>
      </c>
      <c r="S51">
        <f>IF(COUNTA(B51:I51)=0,"Waiting for input",IF(COUNTA(B51:I51)&lt;8,"Incomplete","Calculated"))</f>
        <v/>
      </c>
    </row>
    <row r="52">
      <c r="A52" s="7" t="inlineStr">
        <is>
          <t>CUST-044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9">
        <f>IF(COUNTA(B52:I52)&lt;8,"",ROUND('Model Parameters'!$G$2+'Model Parameters'!$G$5*((B52-'Model Parameters'!$G$3)/'Model Parameters'!$G$4)+'Model Parameters'!$G$6*IF(C52="Yes",1,0)+SUMIFS('Model Parameters'!$C$2:$C$46,'Model Parameters'!$A$2:$A$46,"entry_product",'Model Parameters'!$B$2:$B$46,D52)+SUMIFS('Model Parameters'!$C$2:$C$46,'Model Parameters'!$A$2:$A$46,"sales_channel",'Model Parameters'!$B$2:$B$46,E52)+SUMIFS('Model Parameters'!$C$2:$C$46,'Model Parameters'!$A$2:$A$46,"gender",'Model Parameters'!$B$2:$B$46,F52)+SUMIFS('Model Parameters'!$C$2:$C$46,'Model Parameters'!$A$2:$A$46,"education",'Model Parameters'!$B$2:$B$46,G52)+SUMIFS('Model Parameters'!$C$2:$C$46,'Model Parameters'!$A$2:$A$46,"purchase_month",'Model Parameters'!$B$2:$B$46,TEXT(H52,"0"))+SUMIFS('Model Parameters'!$C$2:$C$46,'Model Parameters'!$A$2:$A$46,"purchase_day_of_week",'Model Parameters'!$B$2:$B$46,I52),2))</f>
        <v/>
      </c>
      <c r="K52" s="9">
        <f>IF(B52="","",'Model Parameters'!$G$5*((B52-'Model Parameters'!$G$3)/'Model Parameters'!$G$4))</f>
        <v/>
      </c>
      <c r="L52" s="9">
        <f>IF(B52="","",'Model Parameters'!$G$6*IF(C52="Yes",1,0))</f>
        <v/>
      </c>
      <c r="M52" s="9">
        <f>IF(B52="","",SUMIFS('Model Parameters'!$C$2:$C$46,'Model Parameters'!$A$2:$A$46,"entry_product",'Model Parameters'!$B$2:$B$46,D52))</f>
        <v/>
      </c>
      <c r="N52" s="9">
        <f>IF(B52="","",SUMIFS('Model Parameters'!$C$2:$C$46,'Model Parameters'!$A$2:$A$46,"sales_channel",'Model Parameters'!$B$2:$B$46,E52))</f>
        <v/>
      </c>
      <c r="O52" s="9">
        <f>IF(B52="","",SUMIFS('Model Parameters'!$C$2:$C$46,'Model Parameters'!$A$2:$A$46,"gender",'Model Parameters'!$B$2:$B$46,F52))</f>
        <v/>
      </c>
      <c r="P52" s="9">
        <f>IF(B52="","",SUMIFS('Model Parameters'!$C$2:$C$46,'Model Parameters'!$A$2:$A$46,"education",'Model Parameters'!$B$2:$B$46,G52))</f>
        <v/>
      </c>
      <c r="Q52" s="9">
        <f>IF(B52="","",SUMIFS('Model Parameters'!$C$2:$C$46,'Model Parameters'!$A$2:$A$46,"purchase_month",'Model Parameters'!$B$2:$B$46,TEXT(H52,"0")))</f>
        <v/>
      </c>
      <c r="R52" s="9">
        <f>IF(B52="","",SUMIFS('Model Parameters'!$C$2:$C$46,'Model Parameters'!$A$2:$A$46,"purchase_day_of_week",'Model Parameters'!$B$2:$B$46,I52))</f>
        <v/>
      </c>
      <c r="S52">
        <f>IF(COUNTA(B52:I52)=0,"Waiting for input",IF(COUNTA(B52:I52)&lt;8,"Incomplete","Calculated"))</f>
        <v/>
      </c>
    </row>
    <row r="53">
      <c r="A53" s="7" t="inlineStr">
        <is>
          <t>CUST-045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9">
        <f>IF(COUNTA(B53:I53)&lt;8,"",ROUND('Model Parameters'!$G$2+'Model Parameters'!$G$5*((B53-'Model Parameters'!$G$3)/'Model Parameters'!$G$4)+'Model Parameters'!$G$6*IF(C53="Yes",1,0)+SUMIFS('Model Parameters'!$C$2:$C$46,'Model Parameters'!$A$2:$A$46,"entry_product",'Model Parameters'!$B$2:$B$46,D53)+SUMIFS('Model Parameters'!$C$2:$C$46,'Model Parameters'!$A$2:$A$46,"sales_channel",'Model Parameters'!$B$2:$B$46,E53)+SUMIFS('Model Parameters'!$C$2:$C$46,'Model Parameters'!$A$2:$A$46,"gender",'Model Parameters'!$B$2:$B$46,F53)+SUMIFS('Model Parameters'!$C$2:$C$46,'Model Parameters'!$A$2:$A$46,"education",'Model Parameters'!$B$2:$B$46,G53)+SUMIFS('Model Parameters'!$C$2:$C$46,'Model Parameters'!$A$2:$A$46,"purchase_month",'Model Parameters'!$B$2:$B$46,TEXT(H53,"0"))+SUMIFS('Model Parameters'!$C$2:$C$46,'Model Parameters'!$A$2:$A$46,"purchase_day_of_week",'Model Parameters'!$B$2:$B$46,I53),2))</f>
        <v/>
      </c>
      <c r="K53" s="9">
        <f>IF(B53="","",'Model Parameters'!$G$5*((B53-'Model Parameters'!$G$3)/'Model Parameters'!$G$4))</f>
        <v/>
      </c>
      <c r="L53" s="9">
        <f>IF(B53="","",'Model Parameters'!$G$6*IF(C53="Yes",1,0))</f>
        <v/>
      </c>
      <c r="M53" s="9">
        <f>IF(B53="","",SUMIFS('Model Parameters'!$C$2:$C$46,'Model Parameters'!$A$2:$A$46,"entry_product",'Model Parameters'!$B$2:$B$46,D53))</f>
        <v/>
      </c>
      <c r="N53" s="9">
        <f>IF(B53="","",SUMIFS('Model Parameters'!$C$2:$C$46,'Model Parameters'!$A$2:$A$46,"sales_channel",'Model Parameters'!$B$2:$B$46,E53))</f>
        <v/>
      </c>
      <c r="O53" s="9">
        <f>IF(B53="","",SUMIFS('Model Parameters'!$C$2:$C$46,'Model Parameters'!$A$2:$A$46,"gender",'Model Parameters'!$B$2:$B$46,F53))</f>
        <v/>
      </c>
      <c r="P53" s="9">
        <f>IF(B53="","",SUMIFS('Model Parameters'!$C$2:$C$46,'Model Parameters'!$A$2:$A$46,"education",'Model Parameters'!$B$2:$B$46,G53))</f>
        <v/>
      </c>
      <c r="Q53" s="9">
        <f>IF(B53="","",SUMIFS('Model Parameters'!$C$2:$C$46,'Model Parameters'!$A$2:$A$46,"purchase_month",'Model Parameters'!$B$2:$B$46,TEXT(H53,"0")))</f>
        <v/>
      </c>
      <c r="R53" s="9">
        <f>IF(B53="","",SUMIFS('Model Parameters'!$C$2:$C$46,'Model Parameters'!$A$2:$A$46,"purchase_day_of_week",'Model Parameters'!$B$2:$B$46,I53))</f>
        <v/>
      </c>
      <c r="S53">
        <f>IF(COUNTA(B53:I53)=0,"Waiting for input",IF(COUNTA(B53:I53)&lt;8,"Incomplete","Calculated"))</f>
        <v/>
      </c>
    </row>
    <row r="54">
      <c r="A54" s="7" t="inlineStr">
        <is>
          <t>CUST-046</t>
        </is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9">
        <f>IF(COUNTA(B54:I54)&lt;8,"",ROUND('Model Parameters'!$G$2+'Model Parameters'!$G$5*((B54-'Model Parameters'!$G$3)/'Model Parameters'!$G$4)+'Model Parameters'!$G$6*IF(C54="Yes",1,0)+SUMIFS('Model Parameters'!$C$2:$C$46,'Model Parameters'!$A$2:$A$46,"entry_product",'Model Parameters'!$B$2:$B$46,D54)+SUMIFS('Model Parameters'!$C$2:$C$46,'Model Parameters'!$A$2:$A$46,"sales_channel",'Model Parameters'!$B$2:$B$46,E54)+SUMIFS('Model Parameters'!$C$2:$C$46,'Model Parameters'!$A$2:$A$46,"gender",'Model Parameters'!$B$2:$B$46,F54)+SUMIFS('Model Parameters'!$C$2:$C$46,'Model Parameters'!$A$2:$A$46,"education",'Model Parameters'!$B$2:$B$46,G54)+SUMIFS('Model Parameters'!$C$2:$C$46,'Model Parameters'!$A$2:$A$46,"purchase_month",'Model Parameters'!$B$2:$B$46,TEXT(H54,"0"))+SUMIFS('Model Parameters'!$C$2:$C$46,'Model Parameters'!$A$2:$A$46,"purchase_day_of_week",'Model Parameters'!$B$2:$B$46,I54),2))</f>
        <v/>
      </c>
      <c r="K54" s="9">
        <f>IF(B54="","",'Model Parameters'!$G$5*((B54-'Model Parameters'!$G$3)/'Model Parameters'!$G$4))</f>
        <v/>
      </c>
      <c r="L54" s="9">
        <f>IF(B54="","",'Model Parameters'!$G$6*IF(C54="Yes",1,0))</f>
        <v/>
      </c>
      <c r="M54" s="9">
        <f>IF(B54="","",SUMIFS('Model Parameters'!$C$2:$C$46,'Model Parameters'!$A$2:$A$46,"entry_product",'Model Parameters'!$B$2:$B$46,D54))</f>
        <v/>
      </c>
      <c r="N54" s="9">
        <f>IF(B54="","",SUMIFS('Model Parameters'!$C$2:$C$46,'Model Parameters'!$A$2:$A$46,"sales_channel",'Model Parameters'!$B$2:$B$46,E54))</f>
        <v/>
      </c>
      <c r="O54" s="9">
        <f>IF(B54="","",SUMIFS('Model Parameters'!$C$2:$C$46,'Model Parameters'!$A$2:$A$46,"gender",'Model Parameters'!$B$2:$B$46,F54))</f>
        <v/>
      </c>
      <c r="P54" s="9">
        <f>IF(B54="","",SUMIFS('Model Parameters'!$C$2:$C$46,'Model Parameters'!$A$2:$A$46,"education",'Model Parameters'!$B$2:$B$46,G54))</f>
        <v/>
      </c>
      <c r="Q54" s="9">
        <f>IF(B54="","",SUMIFS('Model Parameters'!$C$2:$C$46,'Model Parameters'!$A$2:$A$46,"purchase_month",'Model Parameters'!$B$2:$B$46,TEXT(H54,"0")))</f>
        <v/>
      </c>
      <c r="R54" s="9">
        <f>IF(B54="","",SUMIFS('Model Parameters'!$C$2:$C$46,'Model Parameters'!$A$2:$A$46,"purchase_day_of_week",'Model Parameters'!$B$2:$B$46,I54))</f>
        <v/>
      </c>
      <c r="S54">
        <f>IF(COUNTA(B54:I54)=0,"Waiting for input",IF(COUNTA(B54:I54)&lt;8,"Incomplete","Calculated"))</f>
        <v/>
      </c>
    </row>
    <row r="55">
      <c r="A55" s="7" t="inlineStr">
        <is>
          <t>CUST-047</t>
        </is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9">
        <f>IF(COUNTA(B55:I55)&lt;8,"",ROUND('Model Parameters'!$G$2+'Model Parameters'!$G$5*((B55-'Model Parameters'!$G$3)/'Model Parameters'!$G$4)+'Model Parameters'!$G$6*IF(C55="Yes",1,0)+SUMIFS('Model Parameters'!$C$2:$C$46,'Model Parameters'!$A$2:$A$46,"entry_product",'Model Parameters'!$B$2:$B$46,D55)+SUMIFS('Model Parameters'!$C$2:$C$46,'Model Parameters'!$A$2:$A$46,"sales_channel",'Model Parameters'!$B$2:$B$46,E55)+SUMIFS('Model Parameters'!$C$2:$C$46,'Model Parameters'!$A$2:$A$46,"gender",'Model Parameters'!$B$2:$B$46,F55)+SUMIFS('Model Parameters'!$C$2:$C$46,'Model Parameters'!$A$2:$A$46,"education",'Model Parameters'!$B$2:$B$46,G55)+SUMIFS('Model Parameters'!$C$2:$C$46,'Model Parameters'!$A$2:$A$46,"purchase_month",'Model Parameters'!$B$2:$B$46,TEXT(H55,"0"))+SUMIFS('Model Parameters'!$C$2:$C$46,'Model Parameters'!$A$2:$A$46,"purchase_day_of_week",'Model Parameters'!$B$2:$B$46,I55),2))</f>
        <v/>
      </c>
      <c r="K55" s="9">
        <f>IF(B55="","",'Model Parameters'!$G$5*((B55-'Model Parameters'!$G$3)/'Model Parameters'!$G$4))</f>
        <v/>
      </c>
      <c r="L55" s="9">
        <f>IF(B55="","",'Model Parameters'!$G$6*IF(C55="Yes",1,0))</f>
        <v/>
      </c>
      <c r="M55" s="9">
        <f>IF(B55="","",SUMIFS('Model Parameters'!$C$2:$C$46,'Model Parameters'!$A$2:$A$46,"entry_product",'Model Parameters'!$B$2:$B$46,D55))</f>
        <v/>
      </c>
      <c r="N55" s="9">
        <f>IF(B55="","",SUMIFS('Model Parameters'!$C$2:$C$46,'Model Parameters'!$A$2:$A$46,"sales_channel",'Model Parameters'!$B$2:$B$46,E55))</f>
        <v/>
      </c>
      <c r="O55" s="9">
        <f>IF(B55="","",SUMIFS('Model Parameters'!$C$2:$C$46,'Model Parameters'!$A$2:$A$46,"gender",'Model Parameters'!$B$2:$B$46,F55))</f>
        <v/>
      </c>
      <c r="P55" s="9">
        <f>IF(B55="","",SUMIFS('Model Parameters'!$C$2:$C$46,'Model Parameters'!$A$2:$A$46,"education",'Model Parameters'!$B$2:$B$46,G55))</f>
        <v/>
      </c>
      <c r="Q55" s="9">
        <f>IF(B55="","",SUMIFS('Model Parameters'!$C$2:$C$46,'Model Parameters'!$A$2:$A$46,"purchase_month",'Model Parameters'!$B$2:$B$46,TEXT(H55,"0")))</f>
        <v/>
      </c>
      <c r="R55" s="9">
        <f>IF(B55="","",SUMIFS('Model Parameters'!$C$2:$C$46,'Model Parameters'!$A$2:$A$46,"purchase_day_of_week",'Model Parameters'!$B$2:$B$46,I55))</f>
        <v/>
      </c>
      <c r="S55">
        <f>IF(COUNTA(B55:I55)=0,"Waiting for input",IF(COUNTA(B55:I55)&lt;8,"Incomplete","Calculated"))</f>
        <v/>
      </c>
    </row>
    <row r="56">
      <c r="A56" s="7" t="inlineStr">
        <is>
          <t>CUST-048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9">
        <f>IF(COUNTA(B56:I56)&lt;8,"",ROUND('Model Parameters'!$G$2+'Model Parameters'!$G$5*((B56-'Model Parameters'!$G$3)/'Model Parameters'!$G$4)+'Model Parameters'!$G$6*IF(C56="Yes",1,0)+SUMIFS('Model Parameters'!$C$2:$C$46,'Model Parameters'!$A$2:$A$46,"entry_product",'Model Parameters'!$B$2:$B$46,D56)+SUMIFS('Model Parameters'!$C$2:$C$46,'Model Parameters'!$A$2:$A$46,"sales_channel",'Model Parameters'!$B$2:$B$46,E56)+SUMIFS('Model Parameters'!$C$2:$C$46,'Model Parameters'!$A$2:$A$46,"gender",'Model Parameters'!$B$2:$B$46,F56)+SUMIFS('Model Parameters'!$C$2:$C$46,'Model Parameters'!$A$2:$A$46,"education",'Model Parameters'!$B$2:$B$46,G56)+SUMIFS('Model Parameters'!$C$2:$C$46,'Model Parameters'!$A$2:$A$46,"purchase_month",'Model Parameters'!$B$2:$B$46,TEXT(H56,"0"))+SUMIFS('Model Parameters'!$C$2:$C$46,'Model Parameters'!$A$2:$A$46,"purchase_day_of_week",'Model Parameters'!$B$2:$B$46,I56),2))</f>
        <v/>
      </c>
      <c r="K56" s="9">
        <f>IF(B56="","",'Model Parameters'!$G$5*((B56-'Model Parameters'!$G$3)/'Model Parameters'!$G$4))</f>
        <v/>
      </c>
      <c r="L56" s="9">
        <f>IF(B56="","",'Model Parameters'!$G$6*IF(C56="Yes",1,0))</f>
        <v/>
      </c>
      <c r="M56" s="9">
        <f>IF(B56="","",SUMIFS('Model Parameters'!$C$2:$C$46,'Model Parameters'!$A$2:$A$46,"entry_product",'Model Parameters'!$B$2:$B$46,D56))</f>
        <v/>
      </c>
      <c r="N56" s="9">
        <f>IF(B56="","",SUMIFS('Model Parameters'!$C$2:$C$46,'Model Parameters'!$A$2:$A$46,"sales_channel",'Model Parameters'!$B$2:$B$46,E56))</f>
        <v/>
      </c>
      <c r="O56" s="9">
        <f>IF(B56="","",SUMIFS('Model Parameters'!$C$2:$C$46,'Model Parameters'!$A$2:$A$46,"gender",'Model Parameters'!$B$2:$B$46,F56))</f>
        <v/>
      </c>
      <c r="P56" s="9">
        <f>IF(B56="","",SUMIFS('Model Parameters'!$C$2:$C$46,'Model Parameters'!$A$2:$A$46,"education",'Model Parameters'!$B$2:$B$46,G56))</f>
        <v/>
      </c>
      <c r="Q56" s="9">
        <f>IF(B56="","",SUMIFS('Model Parameters'!$C$2:$C$46,'Model Parameters'!$A$2:$A$46,"purchase_month",'Model Parameters'!$B$2:$B$46,TEXT(H56,"0")))</f>
        <v/>
      </c>
      <c r="R56" s="9">
        <f>IF(B56="","",SUMIFS('Model Parameters'!$C$2:$C$46,'Model Parameters'!$A$2:$A$46,"purchase_day_of_week",'Model Parameters'!$B$2:$B$46,I56))</f>
        <v/>
      </c>
      <c r="S56">
        <f>IF(COUNTA(B56:I56)=0,"Waiting for input",IF(COUNTA(B56:I56)&lt;8,"Incomplete","Calculated"))</f>
        <v/>
      </c>
    </row>
    <row r="57">
      <c r="A57" s="7" t="inlineStr">
        <is>
          <t>CUST-049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9">
        <f>IF(COUNTA(B57:I57)&lt;8,"",ROUND('Model Parameters'!$G$2+'Model Parameters'!$G$5*((B57-'Model Parameters'!$G$3)/'Model Parameters'!$G$4)+'Model Parameters'!$G$6*IF(C57="Yes",1,0)+SUMIFS('Model Parameters'!$C$2:$C$46,'Model Parameters'!$A$2:$A$46,"entry_product",'Model Parameters'!$B$2:$B$46,D57)+SUMIFS('Model Parameters'!$C$2:$C$46,'Model Parameters'!$A$2:$A$46,"sales_channel",'Model Parameters'!$B$2:$B$46,E57)+SUMIFS('Model Parameters'!$C$2:$C$46,'Model Parameters'!$A$2:$A$46,"gender",'Model Parameters'!$B$2:$B$46,F57)+SUMIFS('Model Parameters'!$C$2:$C$46,'Model Parameters'!$A$2:$A$46,"education",'Model Parameters'!$B$2:$B$46,G57)+SUMIFS('Model Parameters'!$C$2:$C$46,'Model Parameters'!$A$2:$A$46,"purchase_month",'Model Parameters'!$B$2:$B$46,TEXT(H57,"0"))+SUMIFS('Model Parameters'!$C$2:$C$46,'Model Parameters'!$A$2:$A$46,"purchase_day_of_week",'Model Parameters'!$B$2:$B$46,I57),2))</f>
        <v/>
      </c>
      <c r="K57" s="9">
        <f>IF(B57="","",'Model Parameters'!$G$5*((B57-'Model Parameters'!$G$3)/'Model Parameters'!$G$4))</f>
        <v/>
      </c>
      <c r="L57" s="9">
        <f>IF(B57="","",'Model Parameters'!$G$6*IF(C57="Yes",1,0))</f>
        <v/>
      </c>
      <c r="M57" s="9">
        <f>IF(B57="","",SUMIFS('Model Parameters'!$C$2:$C$46,'Model Parameters'!$A$2:$A$46,"entry_product",'Model Parameters'!$B$2:$B$46,D57))</f>
        <v/>
      </c>
      <c r="N57" s="9">
        <f>IF(B57="","",SUMIFS('Model Parameters'!$C$2:$C$46,'Model Parameters'!$A$2:$A$46,"sales_channel",'Model Parameters'!$B$2:$B$46,E57))</f>
        <v/>
      </c>
      <c r="O57" s="9">
        <f>IF(B57="","",SUMIFS('Model Parameters'!$C$2:$C$46,'Model Parameters'!$A$2:$A$46,"gender",'Model Parameters'!$B$2:$B$46,F57))</f>
        <v/>
      </c>
      <c r="P57" s="9">
        <f>IF(B57="","",SUMIFS('Model Parameters'!$C$2:$C$46,'Model Parameters'!$A$2:$A$46,"education",'Model Parameters'!$B$2:$B$46,G57))</f>
        <v/>
      </c>
      <c r="Q57" s="9">
        <f>IF(B57="","",SUMIFS('Model Parameters'!$C$2:$C$46,'Model Parameters'!$A$2:$A$46,"purchase_month",'Model Parameters'!$B$2:$B$46,TEXT(H57,"0")))</f>
        <v/>
      </c>
      <c r="R57" s="9">
        <f>IF(B57="","",SUMIFS('Model Parameters'!$C$2:$C$46,'Model Parameters'!$A$2:$A$46,"purchase_day_of_week",'Model Parameters'!$B$2:$B$46,I57))</f>
        <v/>
      </c>
      <c r="S57">
        <f>IF(COUNTA(B57:I57)=0,"Waiting for input",IF(COUNTA(B57:I57)&lt;8,"Incomplete","Calculated"))</f>
        <v/>
      </c>
    </row>
    <row r="58">
      <c r="A58" s="7" t="inlineStr">
        <is>
          <t>CUST-050</t>
        </is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9">
        <f>IF(COUNTA(B58:I58)&lt;8,"",ROUND('Model Parameters'!$G$2+'Model Parameters'!$G$5*((B58-'Model Parameters'!$G$3)/'Model Parameters'!$G$4)+'Model Parameters'!$G$6*IF(C58="Yes",1,0)+SUMIFS('Model Parameters'!$C$2:$C$46,'Model Parameters'!$A$2:$A$46,"entry_product",'Model Parameters'!$B$2:$B$46,D58)+SUMIFS('Model Parameters'!$C$2:$C$46,'Model Parameters'!$A$2:$A$46,"sales_channel",'Model Parameters'!$B$2:$B$46,E58)+SUMIFS('Model Parameters'!$C$2:$C$46,'Model Parameters'!$A$2:$A$46,"gender",'Model Parameters'!$B$2:$B$46,F58)+SUMIFS('Model Parameters'!$C$2:$C$46,'Model Parameters'!$A$2:$A$46,"education",'Model Parameters'!$B$2:$B$46,G58)+SUMIFS('Model Parameters'!$C$2:$C$46,'Model Parameters'!$A$2:$A$46,"purchase_month",'Model Parameters'!$B$2:$B$46,TEXT(H58,"0"))+SUMIFS('Model Parameters'!$C$2:$C$46,'Model Parameters'!$A$2:$A$46,"purchase_day_of_week",'Model Parameters'!$B$2:$B$46,I58),2))</f>
        <v/>
      </c>
      <c r="K58" s="9">
        <f>IF(B58="","",'Model Parameters'!$G$5*((B58-'Model Parameters'!$G$3)/'Model Parameters'!$G$4))</f>
        <v/>
      </c>
      <c r="L58" s="9">
        <f>IF(B58="","",'Model Parameters'!$G$6*IF(C58="Yes",1,0))</f>
        <v/>
      </c>
      <c r="M58" s="9">
        <f>IF(B58="","",SUMIFS('Model Parameters'!$C$2:$C$46,'Model Parameters'!$A$2:$A$46,"entry_product",'Model Parameters'!$B$2:$B$46,D58))</f>
        <v/>
      </c>
      <c r="N58" s="9">
        <f>IF(B58="","",SUMIFS('Model Parameters'!$C$2:$C$46,'Model Parameters'!$A$2:$A$46,"sales_channel",'Model Parameters'!$B$2:$B$46,E58))</f>
        <v/>
      </c>
      <c r="O58" s="9">
        <f>IF(B58="","",SUMIFS('Model Parameters'!$C$2:$C$46,'Model Parameters'!$A$2:$A$46,"gender",'Model Parameters'!$B$2:$B$46,F58))</f>
        <v/>
      </c>
      <c r="P58" s="9">
        <f>IF(B58="","",SUMIFS('Model Parameters'!$C$2:$C$46,'Model Parameters'!$A$2:$A$46,"education",'Model Parameters'!$B$2:$B$46,G58))</f>
        <v/>
      </c>
      <c r="Q58" s="9">
        <f>IF(B58="","",SUMIFS('Model Parameters'!$C$2:$C$46,'Model Parameters'!$A$2:$A$46,"purchase_month",'Model Parameters'!$B$2:$B$46,TEXT(H58,"0")))</f>
        <v/>
      </c>
      <c r="R58" s="9">
        <f>IF(B58="","",SUMIFS('Model Parameters'!$C$2:$C$46,'Model Parameters'!$A$2:$A$46,"purchase_day_of_week",'Model Parameters'!$B$2:$B$46,I58))</f>
        <v/>
      </c>
      <c r="S58">
        <f>IF(COUNTA(B58:I58)=0,"Waiting for input",IF(COUNTA(B58:I58)&lt;8,"Incomplete","Calculated"))</f>
        <v/>
      </c>
    </row>
    <row r="59">
      <c r="A59" s="7" t="inlineStr">
        <is>
          <t>CUST-051</t>
        </is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9">
        <f>IF(COUNTA(B59:I59)&lt;8,"",ROUND('Model Parameters'!$G$2+'Model Parameters'!$G$5*((B59-'Model Parameters'!$G$3)/'Model Parameters'!$G$4)+'Model Parameters'!$G$6*IF(C59="Yes",1,0)+SUMIFS('Model Parameters'!$C$2:$C$46,'Model Parameters'!$A$2:$A$46,"entry_product",'Model Parameters'!$B$2:$B$46,D59)+SUMIFS('Model Parameters'!$C$2:$C$46,'Model Parameters'!$A$2:$A$46,"sales_channel",'Model Parameters'!$B$2:$B$46,E59)+SUMIFS('Model Parameters'!$C$2:$C$46,'Model Parameters'!$A$2:$A$46,"gender",'Model Parameters'!$B$2:$B$46,F59)+SUMIFS('Model Parameters'!$C$2:$C$46,'Model Parameters'!$A$2:$A$46,"education",'Model Parameters'!$B$2:$B$46,G59)+SUMIFS('Model Parameters'!$C$2:$C$46,'Model Parameters'!$A$2:$A$46,"purchase_month",'Model Parameters'!$B$2:$B$46,TEXT(H59,"0"))+SUMIFS('Model Parameters'!$C$2:$C$46,'Model Parameters'!$A$2:$A$46,"purchase_day_of_week",'Model Parameters'!$B$2:$B$46,I59),2))</f>
        <v/>
      </c>
      <c r="K59" s="9">
        <f>IF(B59="","",'Model Parameters'!$G$5*((B59-'Model Parameters'!$G$3)/'Model Parameters'!$G$4))</f>
        <v/>
      </c>
      <c r="L59" s="9">
        <f>IF(B59="","",'Model Parameters'!$G$6*IF(C59="Yes",1,0))</f>
        <v/>
      </c>
      <c r="M59" s="9">
        <f>IF(B59="","",SUMIFS('Model Parameters'!$C$2:$C$46,'Model Parameters'!$A$2:$A$46,"entry_product",'Model Parameters'!$B$2:$B$46,D59))</f>
        <v/>
      </c>
      <c r="N59" s="9">
        <f>IF(B59="","",SUMIFS('Model Parameters'!$C$2:$C$46,'Model Parameters'!$A$2:$A$46,"sales_channel",'Model Parameters'!$B$2:$B$46,E59))</f>
        <v/>
      </c>
      <c r="O59" s="9">
        <f>IF(B59="","",SUMIFS('Model Parameters'!$C$2:$C$46,'Model Parameters'!$A$2:$A$46,"gender",'Model Parameters'!$B$2:$B$46,F59))</f>
        <v/>
      </c>
      <c r="P59" s="9">
        <f>IF(B59="","",SUMIFS('Model Parameters'!$C$2:$C$46,'Model Parameters'!$A$2:$A$46,"education",'Model Parameters'!$B$2:$B$46,G59))</f>
        <v/>
      </c>
      <c r="Q59" s="9">
        <f>IF(B59="","",SUMIFS('Model Parameters'!$C$2:$C$46,'Model Parameters'!$A$2:$A$46,"purchase_month",'Model Parameters'!$B$2:$B$46,TEXT(H59,"0")))</f>
        <v/>
      </c>
      <c r="R59" s="9">
        <f>IF(B59="","",SUMIFS('Model Parameters'!$C$2:$C$46,'Model Parameters'!$A$2:$A$46,"purchase_day_of_week",'Model Parameters'!$B$2:$B$46,I59))</f>
        <v/>
      </c>
      <c r="S59">
        <f>IF(COUNTA(B59:I59)=0,"Waiting for input",IF(COUNTA(B59:I59)&lt;8,"Incomplete","Calculated"))</f>
        <v/>
      </c>
    </row>
    <row r="60">
      <c r="A60" s="7" t="inlineStr">
        <is>
          <t>CUST-052</t>
        </is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9">
        <f>IF(COUNTA(B60:I60)&lt;8,"",ROUND('Model Parameters'!$G$2+'Model Parameters'!$G$5*((B60-'Model Parameters'!$G$3)/'Model Parameters'!$G$4)+'Model Parameters'!$G$6*IF(C60="Yes",1,0)+SUMIFS('Model Parameters'!$C$2:$C$46,'Model Parameters'!$A$2:$A$46,"entry_product",'Model Parameters'!$B$2:$B$46,D60)+SUMIFS('Model Parameters'!$C$2:$C$46,'Model Parameters'!$A$2:$A$46,"sales_channel",'Model Parameters'!$B$2:$B$46,E60)+SUMIFS('Model Parameters'!$C$2:$C$46,'Model Parameters'!$A$2:$A$46,"gender",'Model Parameters'!$B$2:$B$46,F60)+SUMIFS('Model Parameters'!$C$2:$C$46,'Model Parameters'!$A$2:$A$46,"education",'Model Parameters'!$B$2:$B$46,G60)+SUMIFS('Model Parameters'!$C$2:$C$46,'Model Parameters'!$A$2:$A$46,"purchase_month",'Model Parameters'!$B$2:$B$46,TEXT(H60,"0"))+SUMIFS('Model Parameters'!$C$2:$C$46,'Model Parameters'!$A$2:$A$46,"purchase_day_of_week",'Model Parameters'!$B$2:$B$46,I60),2))</f>
        <v/>
      </c>
      <c r="K60" s="9">
        <f>IF(B60="","",'Model Parameters'!$G$5*((B60-'Model Parameters'!$G$3)/'Model Parameters'!$G$4))</f>
        <v/>
      </c>
      <c r="L60" s="9">
        <f>IF(B60="","",'Model Parameters'!$G$6*IF(C60="Yes",1,0))</f>
        <v/>
      </c>
      <c r="M60" s="9">
        <f>IF(B60="","",SUMIFS('Model Parameters'!$C$2:$C$46,'Model Parameters'!$A$2:$A$46,"entry_product",'Model Parameters'!$B$2:$B$46,D60))</f>
        <v/>
      </c>
      <c r="N60" s="9">
        <f>IF(B60="","",SUMIFS('Model Parameters'!$C$2:$C$46,'Model Parameters'!$A$2:$A$46,"sales_channel",'Model Parameters'!$B$2:$B$46,E60))</f>
        <v/>
      </c>
      <c r="O60" s="9">
        <f>IF(B60="","",SUMIFS('Model Parameters'!$C$2:$C$46,'Model Parameters'!$A$2:$A$46,"gender",'Model Parameters'!$B$2:$B$46,F60))</f>
        <v/>
      </c>
      <c r="P60" s="9">
        <f>IF(B60="","",SUMIFS('Model Parameters'!$C$2:$C$46,'Model Parameters'!$A$2:$A$46,"education",'Model Parameters'!$B$2:$B$46,G60))</f>
        <v/>
      </c>
      <c r="Q60" s="9">
        <f>IF(B60="","",SUMIFS('Model Parameters'!$C$2:$C$46,'Model Parameters'!$A$2:$A$46,"purchase_month",'Model Parameters'!$B$2:$B$46,TEXT(H60,"0")))</f>
        <v/>
      </c>
      <c r="R60" s="9">
        <f>IF(B60="","",SUMIFS('Model Parameters'!$C$2:$C$46,'Model Parameters'!$A$2:$A$46,"purchase_day_of_week",'Model Parameters'!$B$2:$B$46,I60))</f>
        <v/>
      </c>
      <c r="S60">
        <f>IF(COUNTA(B60:I60)=0,"Waiting for input",IF(COUNTA(B60:I60)&lt;8,"Incomplete","Calculated"))</f>
        <v/>
      </c>
    </row>
    <row r="61">
      <c r="A61" s="7" t="inlineStr">
        <is>
          <t>CUST-053</t>
        </is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9">
        <f>IF(COUNTA(B61:I61)&lt;8,"",ROUND('Model Parameters'!$G$2+'Model Parameters'!$G$5*((B61-'Model Parameters'!$G$3)/'Model Parameters'!$G$4)+'Model Parameters'!$G$6*IF(C61="Yes",1,0)+SUMIFS('Model Parameters'!$C$2:$C$46,'Model Parameters'!$A$2:$A$46,"entry_product",'Model Parameters'!$B$2:$B$46,D61)+SUMIFS('Model Parameters'!$C$2:$C$46,'Model Parameters'!$A$2:$A$46,"sales_channel",'Model Parameters'!$B$2:$B$46,E61)+SUMIFS('Model Parameters'!$C$2:$C$46,'Model Parameters'!$A$2:$A$46,"gender",'Model Parameters'!$B$2:$B$46,F61)+SUMIFS('Model Parameters'!$C$2:$C$46,'Model Parameters'!$A$2:$A$46,"education",'Model Parameters'!$B$2:$B$46,G61)+SUMIFS('Model Parameters'!$C$2:$C$46,'Model Parameters'!$A$2:$A$46,"purchase_month",'Model Parameters'!$B$2:$B$46,TEXT(H61,"0"))+SUMIFS('Model Parameters'!$C$2:$C$46,'Model Parameters'!$A$2:$A$46,"purchase_day_of_week",'Model Parameters'!$B$2:$B$46,I61),2))</f>
        <v/>
      </c>
      <c r="K61" s="9">
        <f>IF(B61="","",'Model Parameters'!$G$5*((B61-'Model Parameters'!$G$3)/'Model Parameters'!$G$4))</f>
        <v/>
      </c>
      <c r="L61" s="9">
        <f>IF(B61="","",'Model Parameters'!$G$6*IF(C61="Yes",1,0))</f>
        <v/>
      </c>
      <c r="M61" s="9">
        <f>IF(B61="","",SUMIFS('Model Parameters'!$C$2:$C$46,'Model Parameters'!$A$2:$A$46,"entry_product",'Model Parameters'!$B$2:$B$46,D61))</f>
        <v/>
      </c>
      <c r="N61" s="9">
        <f>IF(B61="","",SUMIFS('Model Parameters'!$C$2:$C$46,'Model Parameters'!$A$2:$A$46,"sales_channel",'Model Parameters'!$B$2:$B$46,E61))</f>
        <v/>
      </c>
      <c r="O61" s="9">
        <f>IF(B61="","",SUMIFS('Model Parameters'!$C$2:$C$46,'Model Parameters'!$A$2:$A$46,"gender",'Model Parameters'!$B$2:$B$46,F61))</f>
        <v/>
      </c>
      <c r="P61" s="9">
        <f>IF(B61="","",SUMIFS('Model Parameters'!$C$2:$C$46,'Model Parameters'!$A$2:$A$46,"education",'Model Parameters'!$B$2:$B$46,G61))</f>
        <v/>
      </c>
      <c r="Q61" s="9">
        <f>IF(B61="","",SUMIFS('Model Parameters'!$C$2:$C$46,'Model Parameters'!$A$2:$A$46,"purchase_month",'Model Parameters'!$B$2:$B$46,TEXT(H61,"0")))</f>
        <v/>
      </c>
      <c r="R61" s="9">
        <f>IF(B61="","",SUMIFS('Model Parameters'!$C$2:$C$46,'Model Parameters'!$A$2:$A$46,"purchase_day_of_week",'Model Parameters'!$B$2:$B$46,I61))</f>
        <v/>
      </c>
      <c r="S61">
        <f>IF(COUNTA(B61:I61)=0,"Waiting for input",IF(COUNTA(B61:I61)&lt;8,"Incomplete","Calculated"))</f>
        <v/>
      </c>
    </row>
    <row r="62">
      <c r="A62" s="7" t="inlineStr">
        <is>
          <t>CUST-054</t>
        </is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9">
        <f>IF(COUNTA(B62:I62)&lt;8,"",ROUND('Model Parameters'!$G$2+'Model Parameters'!$G$5*((B62-'Model Parameters'!$G$3)/'Model Parameters'!$G$4)+'Model Parameters'!$G$6*IF(C62="Yes",1,0)+SUMIFS('Model Parameters'!$C$2:$C$46,'Model Parameters'!$A$2:$A$46,"entry_product",'Model Parameters'!$B$2:$B$46,D62)+SUMIFS('Model Parameters'!$C$2:$C$46,'Model Parameters'!$A$2:$A$46,"sales_channel",'Model Parameters'!$B$2:$B$46,E62)+SUMIFS('Model Parameters'!$C$2:$C$46,'Model Parameters'!$A$2:$A$46,"gender",'Model Parameters'!$B$2:$B$46,F62)+SUMIFS('Model Parameters'!$C$2:$C$46,'Model Parameters'!$A$2:$A$46,"education",'Model Parameters'!$B$2:$B$46,G62)+SUMIFS('Model Parameters'!$C$2:$C$46,'Model Parameters'!$A$2:$A$46,"purchase_month",'Model Parameters'!$B$2:$B$46,TEXT(H62,"0"))+SUMIFS('Model Parameters'!$C$2:$C$46,'Model Parameters'!$A$2:$A$46,"purchase_day_of_week",'Model Parameters'!$B$2:$B$46,I62),2))</f>
        <v/>
      </c>
      <c r="K62" s="9">
        <f>IF(B62="","",'Model Parameters'!$G$5*((B62-'Model Parameters'!$G$3)/'Model Parameters'!$G$4))</f>
        <v/>
      </c>
      <c r="L62" s="9">
        <f>IF(B62="","",'Model Parameters'!$G$6*IF(C62="Yes",1,0))</f>
        <v/>
      </c>
      <c r="M62" s="9">
        <f>IF(B62="","",SUMIFS('Model Parameters'!$C$2:$C$46,'Model Parameters'!$A$2:$A$46,"entry_product",'Model Parameters'!$B$2:$B$46,D62))</f>
        <v/>
      </c>
      <c r="N62" s="9">
        <f>IF(B62="","",SUMIFS('Model Parameters'!$C$2:$C$46,'Model Parameters'!$A$2:$A$46,"sales_channel",'Model Parameters'!$B$2:$B$46,E62))</f>
        <v/>
      </c>
      <c r="O62" s="9">
        <f>IF(B62="","",SUMIFS('Model Parameters'!$C$2:$C$46,'Model Parameters'!$A$2:$A$46,"gender",'Model Parameters'!$B$2:$B$46,F62))</f>
        <v/>
      </c>
      <c r="P62" s="9">
        <f>IF(B62="","",SUMIFS('Model Parameters'!$C$2:$C$46,'Model Parameters'!$A$2:$A$46,"education",'Model Parameters'!$B$2:$B$46,G62))</f>
        <v/>
      </c>
      <c r="Q62" s="9">
        <f>IF(B62="","",SUMIFS('Model Parameters'!$C$2:$C$46,'Model Parameters'!$A$2:$A$46,"purchase_month",'Model Parameters'!$B$2:$B$46,TEXT(H62,"0")))</f>
        <v/>
      </c>
      <c r="R62" s="9">
        <f>IF(B62="","",SUMIFS('Model Parameters'!$C$2:$C$46,'Model Parameters'!$A$2:$A$46,"purchase_day_of_week",'Model Parameters'!$B$2:$B$46,I62))</f>
        <v/>
      </c>
      <c r="S62">
        <f>IF(COUNTA(B62:I62)=0,"Waiting for input",IF(COUNTA(B62:I62)&lt;8,"Incomplete","Calculated"))</f>
        <v/>
      </c>
    </row>
    <row r="63">
      <c r="A63" s="7" t="inlineStr">
        <is>
          <t>CUST-055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9">
        <f>IF(COUNTA(B63:I63)&lt;8,"",ROUND('Model Parameters'!$G$2+'Model Parameters'!$G$5*((B63-'Model Parameters'!$G$3)/'Model Parameters'!$G$4)+'Model Parameters'!$G$6*IF(C63="Yes",1,0)+SUMIFS('Model Parameters'!$C$2:$C$46,'Model Parameters'!$A$2:$A$46,"entry_product",'Model Parameters'!$B$2:$B$46,D63)+SUMIFS('Model Parameters'!$C$2:$C$46,'Model Parameters'!$A$2:$A$46,"sales_channel",'Model Parameters'!$B$2:$B$46,E63)+SUMIFS('Model Parameters'!$C$2:$C$46,'Model Parameters'!$A$2:$A$46,"gender",'Model Parameters'!$B$2:$B$46,F63)+SUMIFS('Model Parameters'!$C$2:$C$46,'Model Parameters'!$A$2:$A$46,"education",'Model Parameters'!$B$2:$B$46,G63)+SUMIFS('Model Parameters'!$C$2:$C$46,'Model Parameters'!$A$2:$A$46,"purchase_month",'Model Parameters'!$B$2:$B$46,TEXT(H63,"0"))+SUMIFS('Model Parameters'!$C$2:$C$46,'Model Parameters'!$A$2:$A$46,"purchase_day_of_week",'Model Parameters'!$B$2:$B$46,I63),2))</f>
        <v/>
      </c>
      <c r="K63" s="9">
        <f>IF(B63="","",'Model Parameters'!$G$5*((B63-'Model Parameters'!$G$3)/'Model Parameters'!$G$4))</f>
        <v/>
      </c>
      <c r="L63" s="9">
        <f>IF(B63="","",'Model Parameters'!$G$6*IF(C63="Yes",1,0))</f>
        <v/>
      </c>
      <c r="M63" s="9">
        <f>IF(B63="","",SUMIFS('Model Parameters'!$C$2:$C$46,'Model Parameters'!$A$2:$A$46,"entry_product",'Model Parameters'!$B$2:$B$46,D63))</f>
        <v/>
      </c>
      <c r="N63" s="9">
        <f>IF(B63="","",SUMIFS('Model Parameters'!$C$2:$C$46,'Model Parameters'!$A$2:$A$46,"sales_channel",'Model Parameters'!$B$2:$B$46,E63))</f>
        <v/>
      </c>
      <c r="O63" s="9">
        <f>IF(B63="","",SUMIFS('Model Parameters'!$C$2:$C$46,'Model Parameters'!$A$2:$A$46,"gender",'Model Parameters'!$B$2:$B$46,F63))</f>
        <v/>
      </c>
      <c r="P63" s="9">
        <f>IF(B63="","",SUMIFS('Model Parameters'!$C$2:$C$46,'Model Parameters'!$A$2:$A$46,"education",'Model Parameters'!$B$2:$B$46,G63))</f>
        <v/>
      </c>
      <c r="Q63" s="9">
        <f>IF(B63="","",SUMIFS('Model Parameters'!$C$2:$C$46,'Model Parameters'!$A$2:$A$46,"purchase_month",'Model Parameters'!$B$2:$B$46,TEXT(H63,"0")))</f>
        <v/>
      </c>
      <c r="R63" s="9">
        <f>IF(B63="","",SUMIFS('Model Parameters'!$C$2:$C$46,'Model Parameters'!$A$2:$A$46,"purchase_day_of_week",'Model Parameters'!$B$2:$B$46,I63))</f>
        <v/>
      </c>
      <c r="S63">
        <f>IF(COUNTA(B63:I63)=0,"Waiting for input",IF(COUNTA(B63:I63)&lt;8,"Incomplete","Calculated"))</f>
        <v/>
      </c>
    </row>
    <row r="64">
      <c r="A64" s="7" t="inlineStr">
        <is>
          <t>CUST-056</t>
        </is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9">
        <f>IF(COUNTA(B64:I64)&lt;8,"",ROUND('Model Parameters'!$G$2+'Model Parameters'!$G$5*((B64-'Model Parameters'!$G$3)/'Model Parameters'!$G$4)+'Model Parameters'!$G$6*IF(C64="Yes",1,0)+SUMIFS('Model Parameters'!$C$2:$C$46,'Model Parameters'!$A$2:$A$46,"entry_product",'Model Parameters'!$B$2:$B$46,D64)+SUMIFS('Model Parameters'!$C$2:$C$46,'Model Parameters'!$A$2:$A$46,"sales_channel",'Model Parameters'!$B$2:$B$46,E64)+SUMIFS('Model Parameters'!$C$2:$C$46,'Model Parameters'!$A$2:$A$46,"gender",'Model Parameters'!$B$2:$B$46,F64)+SUMIFS('Model Parameters'!$C$2:$C$46,'Model Parameters'!$A$2:$A$46,"education",'Model Parameters'!$B$2:$B$46,G64)+SUMIFS('Model Parameters'!$C$2:$C$46,'Model Parameters'!$A$2:$A$46,"purchase_month",'Model Parameters'!$B$2:$B$46,TEXT(H64,"0"))+SUMIFS('Model Parameters'!$C$2:$C$46,'Model Parameters'!$A$2:$A$46,"purchase_day_of_week",'Model Parameters'!$B$2:$B$46,I64),2))</f>
        <v/>
      </c>
      <c r="K64" s="9">
        <f>IF(B64="","",'Model Parameters'!$G$5*((B64-'Model Parameters'!$G$3)/'Model Parameters'!$G$4))</f>
        <v/>
      </c>
      <c r="L64" s="9">
        <f>IF(B64="","",'Model Parameters'!$G$6*IF(C64="Yes",1,0))</f>
        <v/>
      </c>
      <c r="M64" s="9">
        <f>IF(B64="","",SUMIFS('Model Parameters'!$C$2:$C$46,'Model Parameters'!$A$2:$A$46,"entry_product",'Model Parameters'!$B$2:$B$46,D64))</f>
        <v/>
      </c>
      <c r="N64" s="9">
        <f>IF(B64="","",SUMIFS('Model Parameters'!$C$2:$C$46,'Model Parameters'!$A$2:$A$46,"sales_channel",'Model Parameters'!$B$2:$B$46,E64))</f>
        <v/>
      </c>
      <c r="O64" s="9">
        <f>IF(B64="","",SUMIFS('Model Parameters'!$C$2:$C$46,'Model Parameters'!$A$2:$A$46,"gender",'Model Parameters'!$B$2:$B$46,F64))</f>
        <v/>
      </c>
      <c r="P64" s="9">
        <f>IF(B64="","",SUMIFS('Model Parameters'!$C$2:$C$46,'Model Parameters'!$A$2:$A$46,"education",'Model Parameters'!$B$2:$B$46,G64))</f>
        <v/>
      </c>
      <c r="Q64" s="9">
        <f>IF(B64="","",SUMIFS('Model Parameters'!$C$2:$C$46,'Model Parameters'!$A$2:$A$46,"purchase_month",'Model Parameters'!$B$2:$B$46,TEXT(H64,"0")))</f>
        <v/>
      </c>
      <c r="R64" s="9">
        <f>IF(B64="","",SUMIFS('Model Parameters'!$C$2:$C$46,'Model Parameters'!$A$2:$A$46,"purchase_day_of_week",'Model Parameters'!$B$2:$B$46,I64))</f>
        <v/>
      </c>
      <c r="S64">
        <f>IF(COUNTA(B64:I64)=0,"Waiting for input",IF(COUNTA(B64:I64)&lt;8,"Incomplete","Calculated"))</f>
        <v/>
      </c>
    </row>
    <row r="65">
      <c r="A65" s="7" t="inlineStr">
        <is>
          <t>CUST-057</t>
        </is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9">
        <f>IF(COUNTA(B65:I65)&lt;8,"",ROUND('Model Parameters'!$G$2+'Model Parameters'!$G$5*((B65-'Model Parameters'!$G$3)/'Model Parameters'!$G$4)+'Model Parameters'!$G$6*IF(C65="Yes",1,0)+SUMIFS('Model Parameters'!$C$2:$C$46,'Model Parameters'!$A$2:$A$46,"entry_product",'Model Parameters'!$B$2:$B$46,D65)+SUMIFS('Model Parameters'!$C$2:$C$46,'Model Parameters'!$A$2:$A$46,"sales_channel",'Model Parameters'!$B$2:$B$46,E65)+SUMIFS('Model Parameters'!$C$2:$C$46,'Model Parameters'!$A$2:$A$46,"gender",'Model Parameters'!$B$2:$B$46,F65)+SUMIFS('Model Parameters'!$C$2:$C$46,'Model Parameters'!$A$2:$A$46,"education",'Model Parameters'!$B$2:$B$46,G65)+SUMIFS('Model Parameters'!$C$2:$C$46,'Model Parameters'!$A$2:$A$46,"purchase_month",'Model Parameters'!$B$2:$B$46,TEXT(H65,"0"))+SUMIFS('Model Parameters'!$C$2:$C$46,'Model Parameters'!$A$2:$A$46,"purchase_day_of_week",'Model Parameters'!$B$2:$B$46,I65),2))</f>
        <v/>
      </c>
      <c r="K65" s="9">
        <f>IF(B65="","",'Model Parameters'!$G$5*((B65-'Model Parameters'!$G$3)/'Model Parameters'!$G$4))</f>
        <v/>
      </c>
      <c r="L65" s="9">
        <f>IF(B65="","",'Model Parameters'!$G$6*IF(C65="Yes",1,0))</f>
        <v/>
      </c>
      <c r="M65" s="9">
        <f>IF(B65="","",SUMIFS('Model Parameters'!$C$2:$C$46,'Model Parameters'!$A$2:$A$46,"entry_product",'Model Parameters'!$B$2:$B$46,D65))</f>
        <v/>
      </c>
      <c r="N65" s="9">
        <f>IF(B65="","",SUMIFS('Model Parameters'!$C$2:$C$46,'Model Parameters'!$A$2:$A$46,"sales_channel",'Model Parameters'!$B$2:$B$46,E65))</f>
        <v/>
      </c>
      <c r="O65" s="9">
        <f>IF(B65="","",SUMIFS('Model Parameters'!$C$2:$C$46,'Model Parameters'!$A$2:$A$46,"gender",'Model Parameters'!$B$2:$B$46,F65))</f>
        <v/>
      </c>
      <c r="P65" s="9">
        <f>IF(B65="","",SUMIFS('Model Parameters'!$C$2:$C$46,'Model Parameters'!$A$2:$A$46,"education",'Model Parameters'!$B$2:$B$46,G65))</f>
        <v/>
      </c>
      <c r="Q65" s="9">
        <f>IF(B65="","",SUMIFS('Model Parameters'!$C$2:$C$46,'Model Parameters'!$A$2:$A$46,"purchase_month",'Model Parameters'!$B$2:$B$46,TEXT(H65,"0")))</f>
        <v/>
      </c>
      <c r="R65" s="9">
        <f>IF(B65="","",SUMIFS('Model Parameters'!$C$2:$C$46,'Model Parameters'!$A$2:$A$46,"purchase_day_of_week",'Model Parameters'!$B$2:$B$46,I65))</f>
        <v/>
      </c>
      <c r="S65">
        <f>IF(COUNTA(B65:I65)=0,"Waiting for input",IF(COUNTA(B65:I65)&lt;8,"Incomplete","Calculated"))</f>
        <v/>
      </c>
    </row>
    <row r="66">
      <c r="A66" s="7" t="inlineStr">
        <is>
          <t>CUST-058</t>
        </is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9">
        <f>IF(COUNTA(B66:I66)&lt;8,"",ROUND('Model Parameters'!$G$2+'Model Parameters'!$G$5*((B66-'Model Parameters'!$G$3)/'Model Parameters'!$G$4)+'Model Parameters'!$G$6*IF(C66="Yes",1,0)+SUMIFS('Model Parameters'!$C$2:$C$46,'Model Parameters'!$A$2:$A$46,"entry_product",'Model Parameters'!$B$2:$B$46,D66)+SUMIFS('Model Parameters'!$C$2:$C$46,'Model Parameters'!$A$2:$A$46,"sales_channel",'Model Parameters'!$B$2:$B$46,E66)+SUMIFS('Model Parameters'!$C$2:$C$46,'Model Parameters'!$A$2:$A$46,"gender",'Model Parameters'!$B$2:$B$46,F66)+SUMIFS('Model Parameters'!$C$2:$C$46,'Model Parameters'!$A$2:$A$46,"education",'Model Parameters'!$B$2:$B$46,G66)+SUMIFS('Model Parameters'!$C$2:$C$46,'Model Parameters'!$A$2:$A$46,"purchase_month",'Model Parameters'!$B$2:$B$46,TEXT(H66,"0"))+SUMIFS('Model Parameters'!$C$2:$C$46,'Model Parameters'!$A$2:$A$46,"purchase_day_of_week",'Model Parameters'!$B$2:$B$46,I66),2))</f>
        <v/>
      </c>
      <c r="K66" s="9">
        <f>IF(B66="","",'Model Parameters'!$G$5*((B66-'Model Parameters'!$G$3)/'Model Parameters'!$G$4))</f>
        <v/>
      </c>
      <c r="L66" s="9">
        <f>IF(B66="","",'Model Parameters'!$G$6*IF(C66="Yes",1,0))</f>
        <v/>
      </c>
      <c r="M66" s="9">
        <f>IF(B66="","",SUMIFS('Model Parameters'!$C$2:$C$46,'Model Parameters'!$A$2:$A$46,"entry_product",'Model Parameters'!$B$2:$B$46,D66))</f>
        <v/>
      </c>
      <c r="N66" s="9">
        <f>IF(B66="","",SUMIFS('Model Parameters'!$C$2:$C$46,'Model Parameters'!$A$2:$A$46,"sales_channel",'Model Parameters'!$B$2:$B$46,E66))</f>
        <v/>
      </c>
      <c r="O66" s="9">
        <f>IF(B66="","",SUMIFS('Model Parameters'!$C$2:$C$46,'Model Parameters'!$A$2:$A$46,"gender",'Model Parameters'!$B$2:$B$46,F66))</f>
        <v/>
      </c>
      <c r="P66" s="9">
        <f>IF(B66="","",SUMIFS('Model Parameters'!$C$2:$C$46,'Model Parameters'!$A$2:$A$46,"education",'Model Parameters'!$B$2:$B$46,G66))</f>
        <v/>
      </c>
      <c r="Q66" s="9">
        <f>IF(B66="","",SUMIFS('Model Parameters'!$C$2:$C$46,'Model Parameters'!$A$2:$A$46,"purchase_month",'Model Parameters'!$B$2:$B$46,TEXT(H66,"0")))</f>
        <v/>
      </c>
      <c r="R66" s="9">
        <f>IF(B66="","",SUMIFS('Model Parameters'!$C$2:$C$46,'Model Parameters'!$A$2:$A$46,"purchase_day_of_week",'Model Parameters'!$B$2:$B$46,I66))</f>
        <v/>
      </c>
      <c r="S66">
        <f>IF(COUNTA(B66:I66)=0,"Waiting for input",IF(COUNTA(B66:I66)&lt;8,"Incomplete","Calculated"))</f>
        <v/>
      </c>
    </row>
    <row r="67">
      <c r="A67" s="7" t="inlineStr">
        <is>
          <t>CUST-059</t>
        </is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9">
        <f>IF(COUNTA(B67:I67)&lt;8,"",ROUND('Model Parameters'!$G$2+'Model Parameters'!$G$5*((B67-'Model Parameters'!$G$3)/'Model Parameters'!$G$4)+'Model Parameters'!$G$6*IF(C67="Yes",1,0)+SUMIFS('Model Parameters'!$C$2:$C$46,'Model Parameters'!$A$2:$A$46,"entry_product",'Model Parameters'!$B$2:$B$46,D67)+SUMIFS('Model Parameters'!$C$2:$C$46,'Model Parameters'!$A$2:$A$46,"sales_channel",'Model Parameters'!$B$2:$B$46,E67)+SUMIFS('Model Parameters'!$C$2:$C$46,'Model Parameters'!$A$2:$A$46,"gender",'Model Parameters'!$B$2:$B$46,F67)+SUMIFS('Model Parameters'!$C$2:$C$46,'Model Parameters'!$A$2:$A$46,"education",'Model Parameters'!$B$2:$B$46,G67)+SUMIFS('Model Parameters'!$C$2:$C$46,'Model Parameters'!$A$2:$A$46,"purchase_month",'Model Parameters'!$B$2:$B$46,TEXT(H67,"0"))+SUMIFS('Model Parameters'!$C$2:$C$46,'Model Parameters'!$A$2:$A$46,"purchase_day_of_week",'Model Parameters'!$B$2:$B$46,I67),2))</f>
        <v/>
      </c>
      <c r="K67" s="9">
        <f>IF(B67="","",'Model Parameters'!$G$5*((B67-'Model Parameters'!$G$3)/'Model Parameters'!$G$4))</f>
        <v/>
      </c>
      <c r="L67" s="9">
        <f>IF(B67="","",'Model Parameters'!$G$6*IF(C67="Yes",1,0))</f>
        <v/>
      </c>
      <c r="M67" s="9">
        <f>IF(B67="","",SUMIFS('Model Parameters'!$C$2:$C$46,'Model Parameters'!$A$2:$A$46,"entry_product",'Model Parameters'!$B$2:$B$46,D67))</f>
        <v/>
      </c>
      <c r="N67" s="9">
        <f>IF(B67="","",SUMIFS('Model Parameters'!$C$2:$C$46,'Model Parameters'!$A$2:$A$46,"sales_channel",'Model Parameters'!$B$2:$B$46,E67))</f>
        <v/>
      </c>
      <c r="O67" s="9">
        <f>IF(B67="","",SUMIFS('Model Parameters'!$C$2:$C$46,'Model Parameters'!$A$2:$A$46,"gender",'Model Parameters'!$B$2:$B$46,F67))</f>
        <v/>
      </c>
      <c r="P67" s="9">
        <f>IF(B67="","",SUMIFS('Model Parameters'!$C$2:$C$46,'Model Parameters'!$A$2:$A$46,"education",'Model Parameters'!$B$2:$B$46,G67))</f>
        <v/>
      </c>
      <c r="Q67" s="9">
        <f>IF(B67="","",SUMIFS('Model Parameters'!$C$2:$C$46,'Model Parameters'!$A$2:$A$46,"purchase_month",'Model Parameters'!$B$2:$B$46,TEXT(H67,"0")))</f>
        <v/>
      </c>
      <c r="R67" s="9">
        <f>IF(B67="","",SUMIFS('Model Parameters'!$C$2:$C$46,'Model Parameters'!$A$2:$A$46,"purchase_day_of_week",'Model Parameters'!$B$2:$B$46,I67))</f>
        <v/>
      </c>
      <c r="S67">
        <f>IF(COUNTA(B67:I67)=0,"Waiting for input",IF(COUNTA(B67:I67)&lt;8,"Incomplete","Calculated"))</f>
        <v/>
      </c>
    </row>
    <row r="68">
      <c r="A68" s="7" t="inlineStr">
        <is>
          <t>CUST-060</t>
        </is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9">
        <f>IF(COUNTA(B68:I68)&lt;8,"",ROUND('Model Parameters'!$G$2+'Model Parameters'!$G$5*((B68-'Model Parameters'!$G$3)/'Model Parameters'!$G$4)+'Model Parameters'!$G$6*IF(C68="Yes",1,0)+SUMIFS('Model Parameters'!$C$2:$C$46,'Model Parameters'!$A$2:$A$46,"entry_product",'Model Parameters'!$B$2:$B$46,D68)+SUMIFS('Model Parameters'!$C$2:$C$46,'Model Parameters'!$A$2:$A$46,"sales_channel",'Model Parameters'!$B$2:$B$46,E68)+SUMIFS('Model Parameters'!$C$2:$C$46,'Model Parameters'!$A$2:$A$46,"gender",'Model Parameters'!$B$2:$B$46,F68)+SUMIFS('Model Parameters'!$C$2:$C$46,'Model Parameters'!$A$2:$A$46,"education",'Model Parameters'!$B$2:$B$46,G68)+SUMIFS('Model Parameters'!$C$2:$C$46,'Model Parameters'!$A$2:$A$46,"purchase_month",'Model Parameters'!$B$2:$B$46,TEXT(H68,"0"))+SUMIFS('Model Parameters'!$C$2:$C$46,'Model Parameters'!$A$2:$A$46,"purchase_day_of_week",'Model Parameters'!$B$2:$B$46,I68),2))</f>
        <v/>
      </c>
      <c r="K68" s="9">
        <f>IF(B68="","",'Model Parameters'!$G$5*((B68-'Model Parameters'!$G$3)/'Model Parameters'!$G$4))</f>
        <v/>
      </c>
      <c r="L68" s="9">
        <f>IF(B68="","",'Model Parameters'!$G$6*IF(C68="Yes",1,0))</f>
        <v/>
      </c>
      <c r="M68" s="9">
        <f>IF(B68="","",SUMIFS('Model Parameters'!$C$2:$C$46,'Model Parameters'!$A$2:$A$46,"entry_product",'Model Parameters'!$B$2:$B$46,D68))</f>
        <v/>
      </c>
      <c r="N68" s="9">
        <f>IF(B68="","",SUMIFS('Model Parameters'!$C$2:$C$46,'Model Parameters'!$A$2:$A$46,"sales_channel",'Model Parameters'!$B$2:$B$46,E68))</f>
        <v/>
      </c>
      <c r="O68" s="9">
        <f>IF(B68="","",SUMIFS('Model Parameters'!$C$2:$C$46,'Model Parameters'!$A$2:$A$46,"gender",'Model Parameters'!$B$2:$B$46,F68))</f>
        <v/>
      </c>
      <c r="P68" s="9">
        <f>IF(B68="","",SUMIFS('Model Parameters'!$C$2:$C$46,'Model Parameters'!$A$2:$A$46,"education",'Model Parameters'!$B$2:$B$46,G68))</f>
        <v/>
      </c>
      <c r="Q68" s="9">
        <f>IF(B68="","",SUMIFS('Model Parameters'!$C$2:$C$46,'Model Parameters'!$A$2:$A$46,"purchase_month",'Model Parameters'!$B$2:$B$46,TEXT(H68,"0")))</f>
        <v/>
      </c>
      <c r="R68" s="9">
        <f>IF(B68="","",SUMIFS('Model Parameters'!$C$2:$C$46,'Model Parameters'!$A$2:$A$46,"purchase_day_of_week",'Model Parameters'!$B$2:$B$46,I68))</f>
        <v/>
      </c>
      <c r="S68">
        <f>IF(COUNTA(B68:I68)=0,"Waiting for input",IF(COUNTA(B68:I68)&lt;8,"Incomplete","Calculated"))</f>
        <v/>
      </c>
    </row>
    <row r="69">
      <c r="A69" s="7" t="inlineStr">
        <is>
          <t>CUST-061</t>
        </is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9">
        <f>IF(COUNTA(B69:I69)&lt;8,"",ROUND('Model Parameters'!$G$2+'Model Parameters'!$G$5*((B69-'Model Parameters'!$G$3)/'Model Parameters'!$G$4)+'Model Parameters'!$G$6*IF(C69="Yes",1,0)+SUMIFS('Model Parameters'!$C$2:$C$46,'Model Parameters'!$A$2:$A$46,"entry_product",'Model Parameters'!$B$2:$B$46,D69)+SUMIFS('Model Parameters'!$C$2:$C$46,'Model Parameters'!$A$2:$A$46,"sales_channel",'Model Parameters'!$B$2:$B$46,E69)+SUMIFS('Model Parameters'!$C$2:$C$46,'Model Parameters'!$A$2:$A$46,"gender",'Model Parameters'!$B$2:$B$46,F69)+SUMIFS('Model Parameters'!$C$2:$C$46,'Model Parameters'!$A$2:$A$46,"education",'Model Parameters'!$B$2:$B$46,G69)+SUMIFS('Model Parameters'!$C$2:$C$46,'Model Parameters'!$A$2:$A$46,"purchase_month",'Model Parameters'!$B$2:$B$46,TEXT(H69,"0"))+SUMIFS('Model Parameters'!$C$2:$C$46,'Model Parameters'!$A$2:$A$46,"purchase_day_of_week",'Model Parameters'!$B$2:$B$46,I69),2))</f>
        <v/>
      </c>
      <c r="K69" s="9">
        <f>IF(B69="","",'Model Parameters'!$G$5*((B69-'Model Parameters'!$G$3)/'Model Parameters'!$G$4))</f>
        <v/>
      </c>
      <c r="L69" s="9">
        <f>IF(B69="","",'Model Parameters'!$G$6*IF(C69="Yes",1,0))</f>
        <v/>
      </c>
      <c r="M69" s="9">
        <f>IF(B69="","",SUMIFS('Model Parameters'!$C$2:$C$46,'Model Parameters'!$A$2:$A$46,"entry_product",'Model Parameters'!$B$2:$B$46,D69))</f>
        <v/>
      </c>
      <c r="N69" s="9">
        <f>IF(B69="","",SUMIFS('Model Parameters'!$C$2:$C$46,'Model Parameters'!$A$2:$A$46,"sales_channel",'Model Parameters'!$B$2:$B$46,E69))</f>
        <v/>
      </c>
      <c r="O69" s="9">
        <f>IF(B69="","",SUMIFS('Model Parameters'!$C$2:$C$46,'Model Parameters'!$A$2:$A$46,"gender",'Model Parameters'!$B$2:$B$46,F69))</f>
        <v/>
      </c>
      <c r="P69" s="9">
        <f>IF(B69="","",SUMIFS('Model Parameters'!$C$2:$C$46,'Model Parameters'!$A$2:$A$46,"education",'Model Parameters'!$B$2:$B$46,G69))</f>
        <v/>
      </c>
      <c r="Q69" s="9">
        <f>IF(B69="","",SUMIFS('Model Parameters'!$C$2:$C$46,'Model Parameters'!$A$2:$A$46,"purchase_month",'Model Parameters'!$B$2:$B$46,TEXT(H69,"0")))</f>
        <v/>
      </c>
      <c r="R69" s="9">
        <f>IF(B69="","",SUMIFS('Model Parameters'!$C$2:$C$46,'Model Parameters'!$A$2:$A$46,"purchase_day_of_week",'Model Parameters'!$B$2:$B$46,I69))</f>
        <v/>
      </c>
      <c r="S69">
        <f>IF(COUNTA(B69:I69)=0,"Waiting for input",IF(COUNTA(B69:I69)&lt;8,"Incomplete","Calculated"))</f>
        <v/>
      </c>
    </row>
    <row r="70">
      <c r="A70" s="7" t="inlineStr">
        <is>
          <t>CUST-062</t>
        </is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9">
        <f>IF(COUNTA(B70:I70)&lt;8,"",ROUND('Model Parameters'!$G$2+'Model Parameters'!$G$5*((B70-'Model Parameters'!$G$3)/'Model Parameters'!$G$4)+'Model Parameters'!$G$6*IF(C70="Yes",1,0)+SUMIFS('Model Parameters'!$C$2:$C$46,'Model Parameters'!$A$2:$A$46,"entry_product",'Model Parameters'!$B$2:$B$46,D70)+SUMIFS('Model Parameters'!$C$2:$C$46,'Model Parameters'!$A$2:$A$46,"sales_channel",'Model Parameters'!$B$2:$B$46,E70)+SUMIFS('Model Parameters'!$C$2:$C$46,'Model Parameters'!$A$2:$A$46,"gender",'Model Parameters'!$B$2:$B$46,F70)+SUMIFS('Model Parameters'!$C$2:$C$46,'Model Parameters'!$A$2:$A$46,"education",'Model Parameters'!$B$2:$B$46,G70)+SUMIFS('Model Parameters'!$C$2:$C$46,'Model Parameters'!$A$2:$A$46,"purchase_month",'Model Parameters'!$B$2:$B$46,TEXT(H70,"0"))+SUMIFS('Model Parameters'!$C$2:$C$46,'Model Parameters'!$A$2:$A$46,"purchase_day_of_week",'Model Parameters'!$B$2:$B$46,I70),2))</f>
        <v/>
      </c>
      <c r="K70" s="9">
        <f>IF(B70="","",'Model Parameters'!$G$5*((B70-'Model Parameters'!$G$3)/'Model Parameters'!$G$4))</f>
        <v/>
      </c>
      <c r="L70" s="9">
        <f>IF(B70="","",'Model Parameters'!$G$6*IF(C70="Yes",1,0))</f>
        <v/>
      </c>
      <c r="M70" s="9">
        <f>IF(B70="","",SUMIFS('Model Parameters'!$C$2:$C$46,'Model Parameters'!$A$2:$A$46,"entry_product",'Model Parameters'!$B$2:$B$46,D70))</f>
        <v/>
      </c>
      <c r="N70" s="9">
        <f>IF(B70="","",SUMIFS('Model Parameters'!$C$2:$C$46,'Model Parameters'!$A$2:$A$46,"sales_channel",'Model Parameters'!$B$2:$B$46,E70))</f>
        <v/>
      </c>
      <c r="O70" s="9">
        <f>IF(B70="","",SUMIFS('Model Parameters'!$C$2:$C$46,'Model Parameters'!$A$2:$A$46,"gender",'Model Parameters'!$B$2:$B$46,F70))</f>
        <v/>
      </c>
      <c r="P70" s="9">
        <f>IF(B70="","",SUMIFS('Model Parameters'!$C$2:$C$46,'Model Parameters'!$A$2:$A$46,"education",'Model Parameters'!$B$2:$B$46,G70))</f>
        <v/>
      </c>
      <c r="Q70" s="9">
        <f>IF(B70="","",SUMIFS('Model Parameters'!$C$2:$C$46,'Model Parameters'!$A$2:$A$46,"purchase_month",'Model Parameters'!$B$2:$B$46,TEXT(H70,"0")))</f>
        <v/>
      </c>
      <c r="R70" s="9">
        <f>IF(B70="","",SUMIFS('Model Parameters'!$C$2:$C$46,'Model Parameters'!$A$2:$A$46,"purchase_day_of_week",'Model Parameters'!$B$2:$B$46,I70))</f>
        <v/>
      </c>
      <c r="S70">
        <f>IF(COUNTA(B70:I70)=0,"Waiting for input",IF(COUNTA(B70:I70)&lt;8,"Incomplete","Calculated"))</f>
        <v/>
      </c>
    </row>
    <row r="71">
      <c r="A71" s="7" t="inlineStr">
        <is>
          <t>CUST-063</t>
        </is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9">
        <f>IF(COUNTA(B71:I71)&lt;8,"",ROUND('Model Parameters'!$G$2+'Model Parameters'!$G$5*((B71-'Model Parameters'!$G$3)/'Model Parameters'!$G$4)+'Model Parameters'!$G$6*IF(C71="Yes",1,0)+SUMIFS('Model Parameters'!$C$2:$C$46,'Model Parameters'!$A$2:$A$46,"entry_product",'Model Parameters'!$B$2:$B$46,D71)+SUMIFS('Model Parameters'!$C$2:$C$46,'Model Parameters'!$A$2:$A$46,"sales_channel",'Model Parameters'!$B$2:$B$46,E71)+SUMIFS('Model Parameters'!$C$2:$C$46,'Model Parameters'!$A$2:$A$46,"gender",'Model Parameters'!$B$2:$B$46,F71)+SUMIFS('Model Parameters'!$C$2:$C$46,'Model Parameters'!$A$2:$A$46,"education",'Model Parameters'!$B$2:$B$46,G71)+SUMIFS('Model Parameters'!$C$2:$C$46,'Model Parameters'!$A$2:$A$46,"purchase_month",'Model Parameters'!$B$2:$B$46,TEXT(H71,"0"))+SUMIFS('Model Parameters'!$C$2:$C$46,'Model Parameters'!$A$2:$A$46,"purchase_day_of_week",'Model Parameters'!$B$2:$B$46,I71),2))</f>
        <v/>
      </c>
      <c r="K71" s="9">
        <f>IF(B71="","",'Model Parameters'!$G$5*((B71-'Model Parameters'!$G$3)/'Model Parameters'!$G$4))</f>
        <v/>
      </c>
      <c r="L71" s="9">
        <f>IF(B71="","",'Model Parameters'!$G$6*IF(C71="Yes",1,0))</f>
        <v/>
      </c>
      <c r="M71" s="9">
        <f>IF(B71="","",SUMIFS('Model Parameters'!$C$2:$C$46,'Model Parameters'!$A$2:$A$46,"entry_product",'Model Parameters'!$B$2:$B$46,D71))</f>
        <v/>
      </c>
      <c r="N71" s="9">
        <f>IF(B71="","",SUMIFS('Model Parameters'!$C$2:$C$46,'Model Parameters'!$A$2:$A$46,"sales_channel",'Model Parameters'!$B$2:$B$46,E71))</f>
        <v/>
      </c>
      <c r="O71" s="9">
        <f>IF(B71="","",SUMIFS('Model Parameters'!$C$2:$C$46,'Model Parameters'!$A$2:$A$46,"gender",'Model Parameters'!$B$2:$B$46,F71))</f>
        <v/>
      </c>
      <c r="P71" s="9">
        <f>IF(B71="","",SUMIFS('Model Parameters'!$C$2:$C$46,'Model Parameters'!$A$2:$A$46,"education",'Model Parameters'!$B$2:$B$46,G71))</f>
        <v/>
      </c>
      <c r="Q71" s="9">
        <f>IF(B71="","",SUMIFS('Model Parameters'!$C$2:$C$46,'Model Parameters'!$A$2:$A$46,"purchase_month",'Model Parameters'!$B$2:$B$46,TEXT(H71,"0")))</f>
        <v/>
      </c>
      <c r="R71" s="9">
        <f>IF(B71="","",SUMIFS('Model Parameters'!$C$2:$C$46,'Model Parameters'!$A$2:$A$46,"purchase_day_of_week",'Model Parameters'!$B$2:$B$46,I71))</f>
        <v/>
      </c>
      <c r="S71">
        <f>IF(COUNTA(B71:I71)=0,"Waiting for input",IF(COUNTA(B71:I71)&lt;8,"Incomplete","Calculated"))</f>
        <v/>
      </c>
    </row>
    <row r="72">
      <c r="A72" s="7" t="inlineStr">
        <is>
          <t>CUST-064</t>
        </is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9">
        <f>IF(COUNTA(B72:I72)&lt;8,"",ROUND('Model Parameters'!$G$2+'Model Parameters'!$G$5*((B72-'Model Parameters'!$G$3)/'Model Parameters'!$G$4)+'Model Parameters'!$G$6*IF(C72="Yes",1,0)+SUMIFS('Model Parameters'!$C$2:$C$46,'Model Parameters'!$A$2:$A$46,"entry_product",'Model Parameters'!$B$2:$B$46,D72)+SUMIFS('Model Parameters'!$C$2:$C$46,'Model Parameters'!$A$2:$A$46,"sales_channel",'Model Parameters'!$B$2:$B$46,E72)+SUMIFS('Model Parameters'!$C$2:$C$46,'Model Parameters'!$A$2:$A$46,"gender",'Model Parameters'!$B$2:$B$46,F72)+SUMIFS('Model Parameters'!$C$2:$C$46,'Model Parameters'!$A$2:$A$46,"education",'Model Parameters'!$B$2:$B$46,G72)+SUMIFS('Model Parameters'!$C$2:$C$46,'Model Parameters'!$A$2:$A$46,"purchase_month",'Model Parameters'!$B$2:$B$46,TEXT(H72,"0"))+SUMIFS('Model Parameters'!$C$2:$C$46,'Model Parameters'!$A$2:$A$46,"purchase_day_of_week",'Model Parameters'!$B$2:$B$46,I72),2))</f>
        <v/>
      </c>
      <c r="K72" s="9">
        <f>IF(B72="","",'Model Parameters'!$G$5*((B72-'Model Parameters'!$G$3)/'Model Parameters'!$G$4))</f>
        <v/>
      </c>
      <c r="L72" s="9">
        <f>IF(B72="","",'Model Parameters'!$G$6*IF(C72="Yes",1,0))</f>
        <v/>
      </c>
      <c r="M72" s="9">
        <f>IF(B72="","",SUMIFS('Model Parameters'!$C$2:$C$46,'Model Parameters'!$A$2:$A$46,"entry_product",'Model Parameters'!$B$2:$B$46,D72))</f>
        <v/>
      </c>
      <c r="N72" s="9">
        <f>IF(B72="","",SUMIFS('Model Parameters'!$C$2:$C$46,'Model Parameters'!$A$2:$A$46,"sales_channel",'Model Parameters'!$B$2:$B$46,E72))</f>
        <v/>
      </c>
      <c r="O72" s="9">
        <f>IF(B72="","",SUMIFS('Model Parameters'!$C$2:$C$46,'Model Parameters'!$A$2:$A$46,"gender",'Model Parameters'!$B$2:$B$46,F72))</f>
        <v/>
      </c>
      <c r="P72" s="9">
        <f>IF(B72="","",SUMIFS('Model Parameters'!$C$2:$C$46,'Model Parameters'!$A$2:$A$46,"education",'Model Parameters'!$B$2:$B$46,G72))</f>
        <v/>
      </c>
      <c r="Q72" s="9">
        <f>IF(B72="","",SUMIFS('Model Parameters'!$C$2:$C$46,'Model Parameters'!$A$2:$A$46,"purchase_month",'Model Parameters'!$B$2:$B$46,TEXT(H72,"0")))</f>
        <v/>
      </c>
      <c r="R72" s="9">
        <f>IF(B72="","",SUMIFS('Model Parameters'!$C$2:$C$46,'Model Parameters'!$A$2:$A$46,"purchase_day_of_week",'Model Parameters'!$B$2:$B$46,I72))</f>
        <v/>
      </c>
      <c r="S72">
        <f>IF(COUNTA(B72:I72)=0,"Waiting for input",IF(COUNTA(B72:I72)&lt;8,"Incomplete","Calculated"))</f>
        <v/>
      </c>
    </row>
    <row r="73">
      <c r="A73" s="7" t="inlineStr">
        <is>
          <t>CUST-065</t>
        </is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9">
        <f>IF(COUNTA(B73:I73)&lt;8,"",ROUND('Model Parameters'!$G$2+'Model Parameters'!$G$5*((B73-'Model Parameters'!$G$3)/'Model Parameters'!$G$4)+'Model Parameters'!$G$6*IF(C73="Yes",1,0)+SUMIFS('Model Parameters'!$C$2:$C$46,'Model Parameters'!$A$2:$A$46,"entry_product",'Model Parameters'!$B$2:$B$46,D73)+SUMIFS('Model Parameters'!$C$2:$C$46,'Model Parameters'!$A$2:$A$46,"sales_channel",'Model Parameters'!$B$2:$B$46,E73)+SUMIFS('Model Parameters'!$C$2:$C$46,'Model Parameters'!$A$2:$A$46,"gender",'Model Parameters'!$B$2:$B$46,F73)+SUMIFS('Model Parameters'!$C$2:$C$46,'Model Parameters'!$A$2:$A$46,"education",'Model Parameters'!$B$2:$B$46,G73)+SUMIFS('Model Parameters'!$C$2:$C$46,'Model Parameters'!$A$2:$A$46,"purchase_month",'Model Parameters'!$B$2:$B$46,TEXT(H73,"0"))+SUMIFS('Model Parameters'!$C$2:$C$46,'Model Parameters'!$A$2:$A$46,"purchase_day_of_week",'Model Parameters'!$B$2:$B$46,I73),2))</f>
        <v/>
      </c>
      <c r="K73" s="9">
        <f>IF(B73="","",'Model Parameters'!$G$5*((B73-'Model Parameters'!$G$3)/'Model Parameters'!$G$4))</f>
        <v/>
      </c>
      <c r="L73" s="9">
        <f>IF(B73="","",'Model Parameters'!$G$6*IF(C73="Yes",1,0))</f>
        <v/>
      </c>
      <c r="M73" s="9">
        <f>IF(B73="","",SUMIFS('Model Parameters'!$C$2:$C$46,'Model Parameters'!$A$2:$A$46,"entry_product",'Model Parameters'!$B$2:$B$46,D73))</f>
        <v/>
      </c>
      <c r="N73" s="9">
        <f>IF(B73="","",SUMIFS('Model Parameters'!$C$2:$C$46,'Model Parameters'!$A$2:$A$46,"sales_channel",'Model Parameters'!$B$2:$B$46,E73))</f>
        <v/>
      </c>
      <c r="O73" s="9">
        <f>IF(B73="","",SUMIFS('Model Parameters'!$C$2:$C$46,'Model Parameters'!$A$2:$A$46,"gender",'Model Parameters'!$B$2:$B$46,F73))</f>
        <v/>
      </c>
      <c r="P73" s="9">
        <f>IF(B73="","",SUMIFS('Model Parameters'!$C$2:$C$46,'Model Parameters'!$A$2:$A$46,"education",'Model Parameters'!$B$2:$B$46,G73))</f>
        <v/>
      </c>
      <c r="Q73" s="9">
        <f>IF(B73="","",SUMIFS('Model Parameters'!$C$2:$C$46,'Model Parameters'!$A$2:$A$46,"purchase_month",'Model Parameters'!$B$2:$B$46,TEXT(H73,"0")))</f>
        <v/>
      </c>
      <c r="R73" s="9">
        <f>IF(B73="","",SUMIFS('Model Parameters'!$C$2:$C$46,'Model Parameters'!$A$2:$A$46,"purchase_day_of_week",'Model Parameters'!$B$2:$B$46,I73))</f>
        <v/>
      </c>
      <c r="S73">
        <f>IF(COUNTA(B73:I73)=0,"Waiting for input",IF(COUNTA(B73:I73)&lt;8,"Incomplete","Calculated"))</f>
        <v/>
      </c>
    </row>
    <row r="74">
      <c r="A74" s="7" t="inlineStr">
        <is>
          <t>CUST-066</t>
        </is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9">
        <f>IF(COUNTA(B74:I74)&lt;8,"",ROUND('Model Parameters'!$G$2+'Model Parameters'!$G$5*((B74-'Model Parameters'!$G$3)/'Model Parameters'!$G$4)+'Model Parameters'!$G$6*IF(C74="Yes",1,0)+SUMIFS('Model Parameters'!$C$2:$C$46,'Model Parameters'!$A$2:$A$46,"entry_product",'Model Parameters'!$B$2:$B$46,D74)+SUMIFS('Model Parameters'!$C$2:$C$46,'Model Parameters'!$A$2:$A$46,"sales_channel",'Model Parameters'!$B$2:$B$46,E74)+SUMIFS('Model Parameters'!$C$2:$C$46,'Model Parameters'!$A$2:$A$46,"gender",'Model Parameters'!$B$2:$B$46,F74)+SUMIFS('Model Parameters'!$C$2:$C$46,'Model Parameters'!$A$2:$A$46,"education",'Model Parameters'!$B$2:$B$46,G74)+SUMIFS('Model Parameters'!$C$2:$C$46,'Model Parameters'!$A$2:$A$46,"purchase_month",'Model Parameters'!$B$2:$B$46,TEXT(H74,"0"))+SUMIFS('Model Parameters'!$C$2:$C$46,'Model Parameters'!$A$2:$A$46,"purchase_day_of_week",'Model Parameters'!$B$2:$B$46,I74),2))</f>
        <v/>
      </c>
      <c r="K74" s="9">
        <f>IF(B74="","",'Model Parameters'!$G$5*((B74-'Model Parameters'!$G$3)/'Model Parameters'!$G$4))</f>
        <v/>
      </c>
      <c r="L74" s="9">
        <f>IF(B74="","",'Model Parameters'!$G$6*IF(C74="Yes",1,0))</f>
        <v/>
      </c>
      <c r="M74" s="9">
        <f>IF(B74="","",SUMIFS('Model Parameters'!$C$2:$C$46,'Model Parameters'!$A$2:$A$46,"entry_product",'Model Parameters'!$B$2:$B$46,D74))</f>
        <v/>
      </c>
      <c r="N74" s="9">
        <f>IF(B74="","",SUMIFS('Model Parameters'!$C$2:$C$46,'Model Parameters'!$A$2:$A$46,"sales_channel",'Model Parameters'!$B$2:$B$46,E74))</f>
        <v/>
      </c>
      <c r="O74" s="9">
        <f>IF(B74="","",SUMIFS('Model Parameters'!$C$2:$C$46,'Model Parameters'!$A$2:$A$46,"gender",'Model Parameters'!$B$2:$B$46,F74))</f>
        <v/>
      </c>
      <c r="P74" s="9">
        <f>IF(B74="","",SUMIFS('Model Parameters'!$C$2:$C$46,'Model Parameters'!$A$2:$A$46,"education",'Model Parameters'!$B$2:$B$46,G74))</f>
        <v/>
      </c>
      <c r="Q74" s="9">
        <f>IF(B74="","",SUMIFS('Model Parameters'!$C$2:$C$46,'Model Parameters'!$A$2:$A$46,"purchase_month",'Model Parameters'!$B$2:$B$46,TEXT(H74,"0")))</f>
        <v/>
      </c>
      <c r="R74" s="9">
        <f>IF(B74="","",SUMIFS('Model Parameters'!$C$2:$C$46,'Model Parameters'!$A$2:$A$46,"purchase_day_of_week",'Model Parameters'!$B$2:$B$46,I74))</f>
        <v/>
      </c>
      <c r="S74">
        <f>IF(COUNTA(B74:I74)=0,"Waiting for input",IF(COUNTA(B74:I74)&lt;8,"Incomplete","Calculated"))</f>
        <v/>
      </c>
    </row>
    <row r="75">
      <c r="A75" s="7" t="inlineStr">
        <is>
          <t>CUST-067</t>
        </is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9">
        <f>IF(COUNTA(B75:I75)&lt;8,"",ROUND('Model Parameters'!$G$2+'Model Parameters'!$G$5*((B75-'Model Parameters'!$G$3)/'Model Parameters'!$G$4)+'Model Parameters'!$G$6*IF(C75="Yes",1,0)+SUMIFS('Model Parameters'!$C$2:$C$46,'Model Parameters'!$A$2:$A$46,"entry_product",'Model Parameters'!$B$2:$B$46,D75)+SUMIFS('Model Parameters'!$C$2:$C$46,'Model Parameters'!$A$2:$A$46,"sales_channel",'Model Parameters'!$B$2:$B$46,E75)+SUMIFS('Model Parameters'!$C$2:$C$46,'Model Parameters'!$A$2:$A$46,"gender",'Model Parameters'!$B$2:$B$46,F75)+SUMIFS('Model Parameters'!$C$2:$C$46,'Model Parameters'!$A$2:$A$46,"education",'Model Parameters'!$B$2:$B$46,G75)+SUMIFS('Model Parameters'!$C$2:$C$46,'Model Parameters'!$A$2:$A$46,"purchase_month",'Model Parameters'!$B$2:$B$46,TEXT(H75,"0"))+SUMIFS('Model Parameters'!$C$2:$C$46,'Model Parameters'!$A$2:$A$46,"purchase_day_of_week",'Model Parameters'!$B$2:$B$46,I75),2))</f>
        <v/>
      </c>
      <c r="K75" s="9">
        <f>IF(B75="","",'Model Parameters'!$G$5*((B75-'Model Parameters'!$G$3)/'Model Parameters'!$G$4))</f>
        <v/>
      </c>
      <c r="L75" s="9">
        <f>IF(B75="","",'Model Parameters'!$G$6*IF(C75="Yes",1,0))</f>
        <v/>
      </c>
      <c r="M75" s="9">
        <f>IF(B75="","",SUMIFS('Model Parameters'!$C$2:$C$46,'Model Parameters'!$A$2:$A$46,"entry_product",'Model Parameters'!$B$2:$B$46,D75))</f>
        <v/>
      </c>
      <c r="N75" s="9">
        <f>IF(B75="","",SUMIFS('Model Parameters'!$C$2:$C$46,'Model Parameters'!$A$2:$A$46,"sales_channel",'Model Parameters'!$B$2:$B$46,E75))</f>
        <v/>
      </c>
      <c r="O75" s="9">
        <f>IF(B75="","",SUMIFS('Model Parameters'!$C$2:$C$46,'Model Parameters'!$A$2:$A$46,"gender",'Model Parameters'!$B$2:$B$46,F75))</f>
        <v/>
      </c>
      <c r="P75" s="9">
        <f>IF(B75="","",SUMIFS('Model Parameters'!$C$2:$C$46,'Model Parameters'!$A$2:$A$46,"education",'Model Parameters'!$B$2:$B$46,G75))</f>
        <v/>
      </c>
      <c r="Q75" s="9">
        <f>IF(B75="","",SUMIFS('Model Parameters'!$C$2:$C$46,'Model Parameters'!$A$2:$A$46,"purchase_month",'Model Parameters'!$B$2:$B$46,TEXT(H75,"0")))</f>
        <v/>
      </c>
      <c r="R75" s="9">
        <f>IF(B75="","",SUMIFS('Model Parameters'!$C$2:$C$46,'Model Parameters'!$A$2:$A$46,"purchase_day_of_week",'Model Parameters'!$B$2:$B$46,I75))</f>
        <v/>
      </c>
      <c r="S75">
        <f>IF(COUNTA(B75:I75)=0,"Waiting for input",IF(COUNTA(B75:I75)&lt;8,"Incomplete","Calculated"))</f>
        <v/>
      </c>
    </row>
    <row r="76">
      <c r="A76" s="7" t="inlineStr">
        <is>
          <t>CUST-068</t>
        </is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9">
        <f>IF(COUNTA(B76:I76)&lt;8,"",ROUND('Model Parameters'!$G$2+'Model Parameters'!$G$5*((B76-'Model Parameters'!$G$3)/'Model Parameters'!$G$4)+'Model Parameters'!$G$6*IF(C76="Yes",1,0)+SUMIFS('Model Parameters'!$C$2:$C$46,'Model Parameters'!$A$2:$A$46,"entry_product",'Model Parameters'!$B$2:$B$46,D76)+SUMIFS('Model Parameters'!$C$2:$C$46,'Model Parameters'!$A$2:$A$46,"sales_channel",'Model Parameters'!$B$2:$B$46,E76)+SUMIFS('Model Parameters'!$C$2:$C$46,'Model Parameters'!$A$2:$A$46,"gender",'Model Parameters'!$B$2:$B$46,F76)+SUMIFS('Model Parameters'!$C$2:$C$46,'Model Parameters'!$A$2:$A$46,"education",'Model Parameters'!$B$2:$B$46,G76)+SUMIFS('Model Parameters'!$C$2:$C$46,'Model Parameters'!$A$2:$A$46,"purchase_month",'Model Parameters'!$B$2:$B$46,TEXT(H76,"0"))+SUMIFS('Model Parameters'!$C$2:$C$46,'Model Parameters'!$A$2:$A$46,"purchase_day_of_week",'Model Parameters'!$B$2:$B$46,I76),2))</f>
        <v/>
      </c>
      <c r="K76" s="9">
        <f>IF(B76="","",'Model Parameters'!$G$5*((B76-'Model Parameters'!$G$3)/'Model Parameters'!$G$4))</f>
        <v/>
      </c>
      <c r="L76" s="9">
        <f>IF(B76="","",'Model Parameters'!$G$6*IF(C76="Yes",1,0))</f>
        <v/>
      </c>
      <c r="M76" s="9">
        <f>IF(B76="","",SUMIFS('Model Parameters'!$C$2:$C$46,'Model Parameters'!$A$2:$A$46,"entry_product",'Model Parameters'!$B$2:$B$46,D76))</f>
        <v/>
      </c>
      <c r="N76" s="9">
        <f>IF(B76="","",SUMIFS('Model Parameters'!$C$2:$C$46,'Model Parameters'!$A$2:$A$46,"sales_channel",'Model Parameters'!$B$2:$B$46,E76))</f>
        <v/>
      </c>
      <c r="O76" s="9">
        <f>IF(B76="","",SUMIFS('Model Parameters'!$C$2:$C$46,'Model Parameters'!$A$2:$A$46,"gender",'Model Parameters'!$B$2:$B$46,F76))</f>
        <v/>
      </c>
      <c r="P76" s="9">
        <f>IF(B76="","",SUMIFS('Model Parameters'!$C$2:$C$46,'Model Parameters'!$A$2:$A$46,"education",'Model Parameters'!$B$2:$B$46,G76))</f>
        <v/>
      </c>
      <c r="Q76" s="9">
        <f>IF(B76="","",SUMIFS('Model Parameters'!$C$2:$C$46,'Model Parameters'!$A$2:$A$46,"purchase_month",'Model Parameters'!$B$2:$B$46,TEXT(H76,"0")))</f>
        <v/>
      </c>
      <c r="R76" s="9">
        <f>IF(B76="","",SUMIFS('Model Parameters'!$C$2:$C$46,'Model Parameters'!$A$2:$A$46,"purchase_day_of_week",'Model Parameters'!$B$2:$B$46,I76))</f>
        <v/>
      </c>
      <c r="S76">
        <f>IF(COUNTA(B76:I76)=0,"Waiting for input",IF(COUNTA(B76:I76)&lt;8,"Incomplete","Calculated"))</f>
        <v/>
      </c>
    </row>
    <row r="77">
      <c r="A77" s="7" t="inlineStr">
        <is>
          <t>CUST-069</t>
        </is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9">
        <f>IF(COUNTA(B77:I77)&lt;8,"",ROUND('Model Parameters'!$G$2+'Model Parameters'!$G$5*((B77-'Model Parameters'!$G$3)/'Model Parameters'!$G$4)+'Model Parameters'!$G$6*IF(C77="Yes",1,0)+SUMIFS('Model Parameters'!$C$2:$C$46,'Model Parameters'!$A$2:$A$46,"entry_product",'Model Parameters'!$B$2:$B$46,D77)+SUMIFS('Model Parameters'!$C$2:$C$46,'Model Parameters'!$A$2:$A$46,"sales_channel",'Model Parameters'!$B$2:$B$46,E77)+SUMIFS('Model Parameters'!$C$2:$C$46,'Model Parameters'!$A$2:$A$46,"gender",'Model Parameters'!$B$2:$B$46,F77)+SUMIFS('Model Parameters'!$C$2:$C$46,'Model Parameters'!$A$2:$A$46,"education",'Model Parameters'!$B$2:$B$46,G77)+SUMIFS('Model Parameters'!$C$2:$C$46,'Model Parameters'!$A$2:$A$46,"purchase_month",'Model Parameters'!$B$2:$B$46,TEXT(H77,"0"))+SUMIFS('Model Parameters'!$C$2:$C$46,'Model Parameters'!$A$2:$A$46,"purchase_day_of_week",'Model Parameters'!$B$2:$B$46,I77),2))</f>
        <v/>
      </c>
      <c r="K77" s="9">
        <f>IF(B77="","",'Model Parameters'!$G$5*((B77-'Model Parameters'!$G$3)/'Model Parameters'!$G$4))</f>
        <v/>
      </c>
      <c r="L77" s="9">
        <f>IF(B77="","",'Model Parameters'!$G$6*IF(C77="Yes",1,0))</f>
        <v/>
      </c>
      <c r="M77" s="9">
        <f>IF(B77="","",SUMIFS('Model Parameters'!$C$2:$C$46,'Model Parameters'!$A$2:$A$46,"entry_product",'Model Parameters'!$B$2:$B$46,D77))</f>
        <v/>
      </c>
      <c r="N77" s="9">
        <f>IF(B77="","",SUMIFS('Model Parameters'!$C$2:$C$46,'Model Parameters'!$A$2:$A$46,"sales_channel",'Model Parameters'!$B$2:$B$46,E77))</f>
        <v/>
      </c>
      <c r="O77" s="9">
        <f>IF(B77="","",SUMIFS('Model Parameters'!$C$2:$C$46,'Model Parameters'!$A$2:$A$46,"gender",'Model Parameters'!$B$2:$B$46,F77))</f>
        <v/>
      </c>
      <c r="P77" s="9">
        <f>IF(B77="","",SUMIFS('Model Parameters'!$C$2:$C$46,'Model Parameters'!$A$2:$A$46,"education",'Model Parameters'!$B$2:$B$46,G77))</f>
        <v/>
      </c>
      <c r="Q77" s="9">
        <f>IF(B77="","",SUMIFS('Model Parameters'!$C$2:$C$46,'Model Parameters'!$A$2:$A$46,"purchase_month",'Model Parameters'!$B$2:$B$46,TEXT(H77,"0")))</f>
        <v/>
      </c>
      <c r="R77" s="9">
        <f>IF(B77="","",SUMIFS('Model Parameters'!$C$2:$C$46,'Model Parameters'!$A$2:$A$46,"purchase_day_of_week",'Model Parameters'!$B$2:$B$46,I77))</f>
        <v/>
      </c>
      <c r="S77">
        <f>IF(COUNTA(B77:I77)=0,"Waiting for input",IF(COUNTA(B77:I77)&lt;8,"Incomplete","Calculated"))</f>
        <v/>
      </c>
    </row>
    <row r="78">
      <c r="A78" s="7" t="inlineStr">
        <is>
          <t>CUST-070</t>
        </is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9">
        <f>IF(COUNTA(B78:I78)&lt;8,"",ROUND('Model Parameters'!$G$2+'Model Parameters'!$G$5*((B78-'Model Parameters'!$G$3)/'Model Parameters'!$G$4)+'Model Parameters'!$G$6*IF(C78="Yes",1,0)+SUMIFS('Model Parameters'!$C$2:$C$46,'Model Parameters'!$A$2:$A$46,"entry_product",'Model Parameters'!$B$2:$B$46,D78)+SUMIFS('Model Parameters'!$C$2:$C$46,'Model Parameters'!$A$2:$A$46,"sales_channel",'Model Parameters'!$B$2:$B$46,E78)+SUMIFS('Model Parameters'!$C$2:$C$46,'Model Parameters'!$A$2:$A$46,"gender",'Model Parameters'!$B$2:$B$46,F78)+SUMIFS('Model Parameters'!$C$2:$C$46,'Model Parameters'!$A$2:$A$46,"education",'Model Parameters'!$B$2:$B$46,G78)+SUMIFS('Model Parameters'!$C$2:$C$46,'Model Parameters'!$A$2:$A$46,"purchase_month",'Model Parameters'!$B$2:$B$46,TEXT(H78,"0"))+SUMIFS('Model Parameters'!$C$2:$C$46,'Model Parameters'!$A$2:$A$46,"purchase_day_of_week",'Model Parameters'!$B$2:$B$46,I78),2))</f>
        <v/>
      </c>
      <c r="K78" s="9">
        <f>IF(B78="","",'Model Parameters'!$G$5*((B78-'Model Parameters'!$G$3)/'Model Parameters'!$G$4))</f>
        <v/>
      </c>
      <c r="L78" s="9">
        <f>IF(B78="","",'Model Parameters'!$G$6*IF(C78="Yes",1,0))</f>
        <v/>
      </c>
      <c r="M78" s="9">
        <f>IF(B78="","",SUMIFS('Model Parameters'!$C$2:$C$46,'Model Parameters'!$A$2:$A$46,"entry_product",'Model Parameters'!$B$2:$B$46,D78))</f>
        <v/>
      </c>
      <c r="N78" s="9">
        <f>IF(B78="","",SUMIFS('Model Parameters'!$C$2:$C$46,'Model Parameters'!$A$2:$A$46,"sales_channel",'Model Parameters'!$B$2:$B$46,E78))</f>
        <v/>
      </c>
      <c r="O78" s="9">
        <f>IF(B78="","",SUMIFS('Model Parameters'!$C$2:$C$46,'Model Parameters'!$A$2:$A$46,"gender",'Model Parameters'!$B$2:$B$46,F78))</f>
        <v/>
      </c>
      <c r="P78" s="9">
        <f>IF(B78="","",SUMIFS('Model Parameters'!$C$2:$C$46,'Model Parameters'!$A$2:$A$46,"education",'Model Parameters'!$B$2:$B$46,G78))</f>
        <v/>
      </c>
      <c r="Q78" s="9">
        <f>IF(B78="","",SUMIFS('Model Parameters'!$C$2:$C$46,'Model Parameters'!$A$2:$A$46,"purchase_month",'Model Parameters'!$B$2:$B$46,TEXT(H78,"0")))</f>
        <v/>
      </c>
      <c r="R78" s="9">
        <f>IF(B78="","",SUMIFS('Model Parameters'!$C$2:$C$46,'Model Parameters'!$A$2:$A$46,"purchase_day_of_week",'Model Parameters'!$B$2:$B$46,I78))</f>
        <v/>
      </c>
      <c r="S78">
        <f>IF(COUNTA(B78:I78)=0,"Waiting for input",IF(COUNTA(B78:I78)&lt;8,"Incomplete","Calculated"))</f>
        <v/>
      </c>
    </row>
    <row r="79">
      <c r="A79" s="7" t="inlineStr">
        <is>
          <t>CUST-071</t>
        </is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9">
        <f>IF(COUNTA(B79:I79)&lt;8,"",ROUND('Model Parameters'!$G$2+'Model Parameters'!$G$5*((B79-'Model Parameters'!$G$3)/'Model Parameters'!$G$4)+'Model Parameters'!$G$6*IF(C79="Yes",1,0)+SUMIFS('Model Parameters'!$C$2:$C$46,'Model Parameters'!$A$2:$A$46,"entry_product",'Model Parameters'!$B$2:$B$46,D79)+SUMIFS('Model Parameters'!$C$2:$C$46,'Model Parameters'!$A$2:$A$46,"sales_channel",'Model Parameters'!$B$2:$B$46,E79)+SUMIFS('Model Parameters'!$C$2:$C$46,'Model Parameters'!$A$2:$A$46,"gender",'Model Parameters'!$B$2:$B$46,F79)+SUMIFS('Model Parameters'!$C$2:$C$46,'Model Parameters'!$A$2:$A$46,"education",'Model Parameters'!$B$2:$B$46,G79)+SUMIFS('Model Parameters'!$C$2:$C$46,'Model Parameters'!$A$2:$A$46,"purchase_month",'Model Parameters'!$B$2:$B$46,TEXT(H79,"0"))+SUMIFS('Model Parameters'!$C$2:$C$46,'Model Parameters'!$A$2:$A$46,"purchase_day_of_week",'Model Parameters'!$B$2:$B$46,I79),2))</f>
        <v/>
      </c>
      <c r="K79" s="9">
        <f>IF(B79="","",'Model Parameters'!$G$5*((B79-'Model Parameters'!$G$3)/'Model Parameters'!$G$4))</f>
        <v/>
      </c>
      <c r="L79" s="9">
        <f>IF(B79="","",'Model Parameters'!$G$6*IF(C79="Yes",1,0))</f>
        <v/>
      </c>
      <c r="M79" s="9">
        <f>IF(B79="","",SUMIFS('Model Parameters'!$C$2:$C$46,'Model Parameters'!$A$2:$A$46,"entry_product",'Model Parameters'!$B$2:$B$46,D79))</f>
        <v/>
      </c>
      <c r="N79" s="9">
        <f>IF(B79="","",SUMIFS('Model Parameters'!$C$2:$C$46,'Model Parameters'!$A$2:$A$46,"sales_channel",'Model Parameters'!$B$2:$B$46,E79))</f>
        <v/>
      </c>
      <c r="O79" s="9">
        <f>IF(B79="","",SUMIFS('Model Parameters'!$C$2:$C$46,'Model Parameters'!$A$2:$A$46,"gender",'Model Parameters'!$B$2:$B$46,F79))</f>
        <v/>
      </c>
      <c r="P79" s="9">
        <f>IF(B79="","",SUMIFS('Model Parameters'!$C$2:$C$46,'Model Parameters'!$A$2:$A$46,"education",'Model Parameters'!$B$2:$B$46,G79))</f>
        <v/>
      </c>
      <c r="Q79" s="9">
        <f>IF(B79="","",SUMIFS('Model Parameters'!$C$2:$C$46,'Model Parameters'!$A$2:$A$46,"purchase_month",'Model Parameters'!$B$2:$B$46,TEXT(H79,"0")))</f>
        <v/>
      </c>
      <c r="R79" s="9">
        <f>IF(B79="","",SUMIFS('Model Parameters'!$C$2:$C$46,'Model Parameters'!$A$2:$A$46,"purchase_day_of_week",'Model Parameters'!$B$2:$B$46,I79))</f>
        <v/>
      </c>
      <c r="S79">
        <f>IF(COUNTA(B79:I79)=0,"Waiting for input",IF(COUNTA(B79:I79)&lt;8,"Incomplete","Calculated"))</f>
        <v/>
      </c>
    </row>
    <row r="80">
      <c r="A80" s="7" t="inlineStr">
        <is>
          <t>CUST-072</t>
        </is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9">
        <f>IF(COUNTA(B80:I80)&lt;8,"",ROUND('Model Parameters'!$G$2+'Model Parameters'!$G$5*((B80-'Model Parameters'!$G$3)/'Model Parameters'!$G$4)+'Model Parameters'!$G$6*IF(C80="Yes",1,0)+SUMIFS('Model Parameters'!$C$2:$C$46,'Model Parameters'!$A$2:$A$46,"entry_product",'Model Parameters'!$B$2:$B$46,D80)+SUMIFS('Model Parameters'!$C$2:$C$46,'Model Parameters'!$A$2:$A$46,"sales_channel",'Model Parameters'!$B$2:$B$46,E80)+SUMIFS('Model Parameters'!$C$2:$C$46,'Model Parameters'!$A$2:$A$46,"gender",'Model Parameters'!$B$2:$B$46,F80)+SUMIFS('Model Parameters'!$C$2:$C$46,'Model Parameters'!$A$2:$A$46,"education",'Model Parameters'!$B$2:$B$46,G80)+SUMIFS('Model Parameters'!$C$2:$C$46,'Model Parameters'!$A$2:$A$46,"purchase_month",'Model Parameters'!$B$2:$B$46,TEXT(H80,"0"))+SUMIFS('Model Parameters'!$C$2:$C$46,'Model Parameters'!$A$2:$A$46,"purchase_day_of_week",'Model Parameters'!$B$2:$B$46,I80),2))</f>
        <v/>
      </c>
      <c r="K80" s="9">
        <f>IF(B80="","",'Model Parameters'!$G$5*((B80-'Model Parameters'!$G$3)/'Model Parameters'!$G$4))</f>
        <v/>
      </c>
      <c r="L80" s="9">
        <f>IF(B80="","",'Model Parameters'!$G$6*IF(C80="Yes",1,0))</f>
        <v/>
      </c>
      <c r="M80" s="9">
        <f>IF(B80="","",SUMIFS('Model Parameters'!$C$2:$C$46,'Model Parameters'!$A$2:$A$46,"entry_product",'Model Parameters'!$B$2:$B$46,D80))</f>
        <v/>
      </c>
      <c r="N80" s="9">
        <f>IF(B80="","",SUMIFS('Model Parameters'!$C$2:$C$46,'Model Parameters'!$A$2:$A$46,"sales_channel",'Model Parameters'!$B$2:$B$46,E80))</f>
        <v/>
      </c>
      <c r="O80" s="9">
        <f>IF(B80="","",SUMIFS('Model Parameters'!$C$2:$C$46,'Model Parameters'!$A$2:$A$46,"gender",'Model Parameters'!$B$2:$B$46,F80))</f>
        <v/>
      </c>
      <c r="P80" s="9">
        <f>IF(B80="","",SUMIFS('Model Parameters'!$C$2:$C$46,'Model Parameters'!$A$2:$A$46,"education",'Model Parameters'!$B$2:$B$46,G80))</f>
        <v/>
      </c>
      <c r="Q80" s="9">
        <f>IF(B80="","",SUMIFS('Model Parameters'!$C$2:$C$46,'Model Parameters'!$A$2:$A$46,"purchase_month",'Model Parameters'!$B$2:$B$46,TEXT(H80,"0")))</f>
        <v/>
      </c>
      <c r="R80" s="9">
        <f>IF(B80="","",SUMIFS('Model Parameters'!$C$2:$C$46,'Model Parameters'!$A$2:$A$46,"purchase_day_of_week",'Model Parameters'!$B$2:$B$46,I80))</f>
        <v/>
      </c>
      <c r="S80">
        <f>IF(COUNTA(B80:I80)=0,"Waiting for input",IF(COUNTA(B80:I80)&lt;8,"Incomplete","Calculated"))</f>
        <v/>
      </c>
    </row>
    <row r="81">
      <c r="A81" s="7" t="inlineStr">
        <is>
          <t>CUST-073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9">
        <f>IF(COUNTA(B81:I81)&lt;8,"",ROUND('Model Parameters'!$G$2+'Model Parameters'!$G$5*((B81-'Model Parameters'!$G$3)/'Model Parameters'!$G$4)+'Model Parameters'!$G$6*IF(C81="Yes",1,0)+SUMIFS('Model Parameters'!$C$2:$C$46,'Model Parameters'!$A$2:$A$46,"entry_product",'Model Parameters'!$B$2:$B$46,D81)+SUMIFS('Model Parameters'!$C$2:$C$46,'Model Parameters'!$A$2:$A$46,"sales_channel",'Model Parameters'!$B$2:$B$46,E81)+SUMIFS('Model Parameters'!$C$2:$C$46,'Model Parameters'!$A$2:$A$46,"gender",'Model Parameters'!$B$2:$B$46,F81)+SUMIFS('Model Parameters'!$C$2:$C$46,'Model Parameters'!$A$2:$A$46,"education",'Model Parameters'!$B$2:$B$46,G81)+SUMIFS('Model Parameters'!$C$2:$C$46,'Model Parameters'!$A$2:$A$46,"purchase_month",'Model Parameters'!$B$2:$B$46,TEXT(H81,"0"))+SUMIFS('Model Parameters'!$C$2:$C$46,'Model Parameters'!$A$2:$A$46,"purchase_day_of_week",'Model Parameters'!$B$2:$B$46,I81),2))</f>
        <v/>
      </c>
      <c r="K81" s="9">
        <f>IF(B81="","",'Model Parameters'!$G$5*((B81-'Model Parameters'!$G$3)/'Model Parameters'!$G$4))</f>
        <v/>
      </c>
      <c r="L81" s="9">
        <f>IF(B81="","",'Model Parameters'!$G$6*IF(C81="Yes",1,0))</f>
        <v/>
      </c>
      <c r="M81" s="9">
        <f>IF(B81="","",SUMIFS('Model Parameters'!$C$2:$C$46,'Model Parameters'!$A$2:$A$46,"entry_product",'Model Parameters'!$B$2:$B$46,D81))</f>
        <v/>
      </c>
      <c r="N81" s="9">
        <f>IF(B81="","",SUMIFS('Model Parameters'!$C$2:$C$46,'Model Parameters'!$A$2:$A$46,"sales_channel",'Model Parameters'!$B$2:$B$46,E81))</f>
        <v/>
      </c>
      <c r="O81" s="9">
        <f>IF(B81="","",SUMIFS('Model Parameters'!$C$2:$C$46,'Model Parameters'!$A$2:$A$46,"gender",'Model Parameters'!$B$2:$B$46,F81))</f>
        <v/>
      </c>
      <c r="P81" s="9">
        <f>IF(B81="","",SUMIFS('Model Parameters'!$C$2:$C$46,'Model Parameters'!$A$2:$A$46,"education",'Model Parameters'!$B$2:$B$46,G81))</f>
        <v/>
      </c>
      <c r="Q81" s="9">
        <f>IF(B81="","",SUMIFS('Model Parameters'!$C$2:$C$46,'Model Parameters'!$A$2:$A$46,"purchase_month",'Model Parameters'!$B$2:$B$46,TEXT(H81,"0")))</f>
        <v/>
      </c>
      <c r="R81" s="9">
        <f>IF(B81="","",SUMIFS('Model Parameters'!$C$2:$C$46,'Model Parameters'!$A$2:$A$46,"purchase_day_of_week",'Model Parameters'!$B$2:$B$46,I81))</f>
        <v/>
      </c>
      <c r="S81">
        <f>IF(COUNTA(B81:I81)=0,"Waiting for input",IF(COUNTA(B81:I81)&lt;8,"Incomplete","Calculated"))</f>
        <v/>
      </c>
    </row>
    <row r="82">
      <c r="A82" s="7" t="inlineStr">
        <is>
          <t>CUST-074</t>
        </is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9">
        <f>IF(COUNTA(B82:I82)&lt;8,"",ROUND('Model Parameters'!$G$2+'Model Parameters'!$G$5*((B82-'Model Parameters'!$G$3)/'Model Parameters'!$G$4)+'Model Parameters'!$G$6*IF(C82="Yes",1,0)+SUMIFS('Model Parameters'!$C$2:$C$46,'Model Parameters'!$A$2:$A$46,"entry_product",'Model Parameters'!$B$2:$B$46,D82)+SUMIFS('Model Parameters'!$C$2:$C$46,'Model Parameters'!$A$2:$A$46,"sales_channel",'Model Parameters'!$B$2:$B$46,E82)+SUMIFS('Model Parameters'!$C$2:$C$46,'Model Parameters'!$A$2:$A$46,"gender",'Model Parameters'!$B$2:$B$46,F82)+SUMIFS('Model Parameters'!$C$2:$C$46,'Model Parameters'!$A$2:$A$46,"education",'Model Parameters'!$B$2:$B$46,G82)+SUMIFS('Model Parameters'!$C$2:$C$46,'Model Parameters'!$A$2:$A$46,"purchase_month",'Model Parameters'!$B$2:$B$46,TEXT(H82,"0"))+SUMIFS('Model Parameters'!$C$2:$C$46,'Model Parameters'!$A$2:$A$46,"purchase_day_of_week",'Model Parameters'!$B$2:$B$46,I82),2))</f>
        <v/>
      </c>
      <c r="K82" s="9">
        <f>IF(B82="","",'Model Parameters'!$G$5*((B82-'Model Parameters'!$G$3)/'Model Parameters'!$G$4))</f>
        <v/>
      </c>
      <c r="L82" s="9">
        <f>IF(B82="","",'Model Parameters'!$G$6*IF(C82="Yes",1,0))</f>
        <v/>
      </c>
      <c r="M82" s="9">
        <f>IF(B82="","",SUMIFS('Model Parameters'!$C$2:$C$46,'Model Parameters'!$A$2:$A$46,"entry_product",'Model Parameters'!$B$2:$B$46,D82))</f>
        <v/>
      </c>
      <c r="N82" s="9">
        <f>IF(B82="","",SUMIFS('Model Parameters'!$C$2:$C$46,'Model Parameters'!$A$2:$A$46,"sales_channel",'Model Parameters'!$B$2:$B$46,E82))</f>
        <v/>
      </c>
      <c r="O82" s="9">
        <f>IF(B82="","",SUMIFS('Model Parameters'!$C$2:$C$46,'Model Parameters'!$A$2:$A$46,"gender",'Model Parameters'!$B$2:$B$46,F82))</f>
        <v/>
      </c>
      <c r="P82" s="9">
        <f>IF(B82="","",SUMIFS('Model Parameters'!$C$2:$C$46,'Model Parameters'!$A$2:$A$46,"education",'Model Parameters'!$B$2:$B$46,G82))</f>
        <v/>
      </c>
      <c r="Q82" s="9">
        <f>IF(B82="","",SUMIFS('Model Parameters'!$C$2:$C$46,'Model Parameters'!$A$2:$A$46,"purchase_month",'Model Parameters'!$B$2:$B$46,TEXT(H82,"0")))</f>
        <v/>
      </c>
      <c r="R82" s="9">
        <f>IF(B82="","",SUMIFS('Model Parameters'!$C$2:$C$46,'Model Parameters'!$A$2:$A$46,"purchase_day_of_week",'Model Parameters'!$B$2:$B$46,I82))</f>
        <v/>
      </c>
      <c r="S82">
        <f>IF(COUNTA(B82:I82)=0,"Waiting for input",IF(COUNTA(B82:I82)&lt;8,"Incomplete","Calculated"))</f>
        <v/>
      </c>
    </row>
    <row r="83">
      <c r="A83" s="7" t="inlineStr">
        <is>
          <t>CUST-075</t>
        </is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9">
        <f>IF(COUNTA(B83:I83)&lt;8,"",ROUND('Model Parameters'!$G$2+'Model Parameters'!$G$5*((B83-'Model Parameters'!$G$3)/'Model Parameters'!$G$4)+'Model Parameters'!$G$6*IF(C83="Yes",1,0)+SUMIFS('Model Parameters'!$C$2:$C$46,'Model Parameters'!$A$2:$A$46,"entry_product",'Model Parameters'!$B$2:$B$46,D83)+SUMIFS('Model Parameters'!$C$2:$C$46,'Model Parameters'!$A$2:$A$46,"sales_channel",'Model Parameters'!$B$2:$B$46,E83)+SUMIFS('Model Parameters'!$C$2:$C$46,'Model Parameters'!$A$2:$A$46,"gender",'Model Parameters'!$B$2:$B$46,F83)+SUMIFS('Model Parameters'!$C$2:$C$46,'Model Parameters'!$A$2:$A$46,"education",'Model Parameters'!$B$2:$B$46,G83)+SUMIFS('Model Parameters'!$C$2:$C$46,'Model Parameters'!$A$2:$A$46,"purchase_month",'Model Parameters'!$B$2:$B$46,TEXT(H83,"0"))+SUMIFS('Model Parameters'!$C$2:$C$46,'Model Parameters'!$A$2:$A$46,"purchase_day_of_week",'Model Parameters'!$B$2:$B$46,I83),2))</f>
        <v/>
      </c>
      <c r="K83" s="9">
        <f>IF(B83="","",'Model Parameters'!$G$5*((B83-'Model Parameters'!$G$3)/'Model Parameters'!$G$4))</f>
        <v/>
      </c>
      <c r="L83" s="9">
        <f>IF(B83="","",'Model Parameters'!$G$6*IF(C83="Yes",1,0))</f>
        <v/>
      </c>
      <c r="M83" s="9">
        <f>IF(B83="","",SUMIFS('Model Parameters'!$C$2:$C$46,'Model Parameters'!$A$2:$A$46,"entry_product",'Model Parameters'!$B$2:$B$46,D83))</f>
        <v/>
      </c>
      <c r="N83" s="9">
        <f>IF(B83="","",SUMIFS('Model Parameters'!$C$2:$C$46,'Model Parameters'!$A$2:$A$46,"sales_channel",'Model Parameters'!$B$2:$B$46,E83))</f>
        <v/>
      </c>
      <c r="O83" s="9">
        <f>IF(B83="","",SUMIFS('Model Parameters'!$C$2:$C$46,'Model Parameters'!$A$2:$A$46,"gender",'Model Parameters'!$B$2:$B$46,F83))</f>
        <v/>
      </c>
      <c r="P83" s="9">
        <f>IF(B83="","",SUMIFS('Model Parameters'!$C$2:$C$46,'Model Parameters'!$A$2:$A$46,"education",'Model Parameters'!$B$2:$B$46,G83))</f>
        <v/>
      </c>
      <c r="Q83" s="9">
        <f>IF(B83="","",SUMIFS('Model Parameters'!$C$2:$C$46,'Model Parameters'!$A$2:$A$46,"purchase_month",'Model Parameters'!$B$2:$B$46,TEXT(H83,"0")))</f>
        <v/>
      </c>
      <c r="R83" s="9">
        <f>IF(B83="","",SUMIFS('Model Parameters'!$C$2:$C$46,'Model Parameters'!$A$2:$A$46,"purchase_day_of_week",'Model Parameters'!$B$2:$B$46,I83))</f>
        <v/>
      </c>
      <c r="S83">
        <f>IF(COUNTA(B83:I83)=0,"Waiting for input",IF(COUNTA(B83:I83)&lt;8,"Incomplete","Calculated"))</f>
        <v/>
      </c>
    </row>
    <row r="84">
      <c r="A84" s="7" t="inlineStr">
        <is>
          <t>CUST-076</t>
        </is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9">
        <f>IF(COUNTA(B84:I84)&lt;8,"",ROUND('Model Parameters'!$G$2+'Model Parameters'!$G$5*((B84-'Model Parameters'!$G$3)/'Model Parameters'!$G$4)+'Model Parameters'!$G$6*IF(C84="Yes",1,0)+SUMIFS('Model Parameters'!$C$2:$C$46,'Model Parameters'!$A$2:$A$46,"entry_product",'Model Parameters'!$B$2:$B$46,D84)+SUMIFS('Model Parameters'!$C$2:$C$46,'Model Parameters'!$A$2:$A$46,"sales_channel",'Model Parameters'!$B$2:$B$46,E84)+SUMIFS('Model Parameters'!$C$2:$C$46,'Model Parameters'!$A$2:$A$46,"gender",'Model Parameters'!$B$2:$B$46,F84)+SUMIFS('Model Parameters'!$C$2:$C$46,'Model Parameters'!$A$2:$A$46,"education",'Model Parameters'!$B$2:$B$46,G84)+SUMIFS('Model Parameters'!$C$2:$C$46,'Model Parameters'!$A$2:$A$46,"purchase_month",'Model Parameters'!$B$2:$B$46,TEXT(H84,"0"))+SUMIFS('Model Parameters'!$C$2:$C$46,'Model Parameters'!$A$2:$A$46,"purchase_day_of_week",'Model Parameters'!$B$2:$B$46,I84),2))</f>
        <v/>
      </c>
      <c r="K84" s="9">
        <f>IF(B84="","",'Model Parameters'!$G$5*((B84-'Model Parameters'!$G$3)/'Model Parameters'!$G$4))</f>
        <v/>
      </c>
      <c r="L84" s="9">
        <f>IF(B84="","",'Model Parameters'!$G$6*IF(C84="Yes",1,0))</f>
        <v/>
      </c>
      <c r="M84" s="9">
        <f>IF(B84="","",SUMIFS('Model Parameters'!$C$2:$C$46,'Model Parameters'!$A$2:$A$46,"entry_product",'Model Parameters'!$B$2:$B$46,D84))</f>
        <v/>
      </c>
      <c r="N84" s="9">
        <f>IF(B84="","",SUMIFS('Model Parameters'!$C$2:$C$46,'Model Parameters'!$A$2:$A$46,"sales_channel",'Model Parameters'!$B$2:$B$46,E84))</f>
        <v/>
      </c>
      <c r="O84" s="9">
        <f>IF(B84="","",SUMIFS('Model Parameters'!$C$2:$C$46,'Model Parameters'!$A$2:$A$46,"gender",'Model Parameters'!$B$2:$B$46,F84))</f>
        <v/>
      </c>
      <c r="P84" s="9">
        <f>IF(B84="","",SUMIFS('Model Parameters'!$C$2:$C$46,'Model Parameters'!$A$2:$A$46,"education",'Model Parameters'!$B$2:$B$46,G84))</f>
        <v/>
      </c>
      <c r="Q84" s="9">
        <f>IF(B84="","",SUMIFS('Model Parameters'!$C$2:$C$46,'Model Parameters'!$A$2:$A$46,"purchase_month",'Model Parameters'!$B$2:$B$46,TEXT(H84,"0")))</f>
        <v/>
      </c>
      <c r="R84" s="9">
        <f>IF(B84="","",SUMIFS('Model Parameters'!$C$2:$C$46,'Model Parameters'!$A$2:$A$46,"purchase_day_of_week",'Model Parameters'!$B$2:$B$46,I84))</f>
        <v/>
      </c>
      <c r="S84">
        <f>IF(COUNTA(B84:I84)=0,"Waiting for input",IF(COUNTA(B84:I84)&lt;8,"Incomplete","Calculated"))</f>
        <v/>
      </c>
    </row>
    <row r="85">
      <c r="A85" s="7" t="inlineStr">
        <is>
          <t>CUST-077</t>
        </is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9">
        <f>IF(COUNTA(B85:I85)&lt;8,"",ROUND('Model Parameters'!$G$2+'Model Parameters'!$G$5*((B85-'Model Parameters'!$G$3)/'Model Parameters'!$G$4)+'Model Parameters'!$G$6*IF(C85="Yes",1,0)+SUMIFS('Model Parameters'!$C$2:$C$46,'Model Parameters'!$A$2:$A$46,"entry_product",'Model Parameters'!$B$2:$B$46,D85)+SUMIFS('Model Parameters'!$C$2:$C$46,'Model Parameters'!$A$2:$A$46,"sales_channel",'Model Parameters'!$B$2:$B$46,E85)+SUMIFS('Model Parameters'!$C$2:$C$46,'Model Parameters'!$A$2:$A$46,"gender",'Model Parameters'!$B$2:$B$46,F85)+SUMIFS('Model Parameters'!$C$2:$C$46,'Model Parameters'!$A$2:$A$46,"education",'Model Parameters'!$B$2:$B$46,G85)+SUMIFS('Model Parameters'!$C$2:$C$46,'Model Parameters'!$A$2:$A$46,"purchase_month",'Model Parameters'!$B$2:$B$46,TEXT(H85,"0"))+SUMIFS('Model Parameters'!$C$2:$C$46,'Model Parameters'!$A$2:$A$46,"purchase_day_of_week",'Model Parameters'!$B$2:$B$46,I85),2))</f>
        <v/>
      </c>
      <c r="K85" s="9">
        <f>IF(B85="","",'Model Parameters'!$G$5*((B85-'Model Parameters'!$G$3)/'Model Parameters'!$G$4))</f>
        <v/>
      </c>
      <c r="L85" s="9">
        <f>IF(B85="","",'Model Parameters'!$G$6*IF(C85="Yes",1,0))</f>
        <v/>
      </c>
      <c r="M85" s="9">
        <f>IF(B85="","",SUMIFS('Model Parameters'!$C$2:$C$46,'Model Parameters'!$A$2:$A$46,"entry_product",'Model Parameters'!$B$2:$B$46,D85))</f>
        <v/>
      </c>
      <c r="N85" s="9">
        <f>IF(B85="","",SUMIFS('Model Parameters'!$C$2:$C$46,'Model Parameters'!$A$2:$A$46,"sales_channel",'Model Parameters'!$B$2:$B$46,E85))</f>
        <v/>
      </c>
      <c r="O85" s="9">
        <f>IF(B85="","",SUMIFS('Model Parameters'!$C$2:$C$46,'Model Parameters'!$A$2:$A$46,"gender",'Model Parameters'!$B$2:$B$46,F85))</f>
        <v/>
      </c>
      <c r="P85" s="9">
        <f>IF(B85="","",SUMIFS('Model Parameters'!$C$2:$C$46,'Model Parameters'!$A$2:$A$46,"education",'Model Parameters'!$B$2:$B$46,G85))</f>
        <v/>
      </c>
      <c r="Q85" s="9">
        <f>IF(B85="","",SUMIFS('Model Parameters'!$C$2:$C$46,'Model Parameters'!$A$2:$A$46,"purchase_month",'Model Parameters'!$B$2:$B$46,TEXT(H85,"0")))</f>
        <v/>
      </c>
      <c r="R85" s="9">
        <f>IF(B85="","",SUMIFS('Model Parameters'!$C$2:$C$46,'Model Parameters'!$A$2:$A$46,"purchase_day_of_week",'Model Parameters'!$B$2:$B$46,I85))</f>
        <v/>
      </c>
      <c r="S85">
        <f>IF(COUNTA(B85:I85)=0,"Waiting for input",IF(COUNTA(B85:I85)&lt;8,"Incomplete","Calculated"))</f>
        <v/>
      </c>
    </row>
    <row r="86">
      <c r="A86" s="7" t="inlineStr">
        <is>
          <t>CUST-078</t>
        </is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9">
        <f>IF(COUNTA(B86:I86)&lt;8,"",ROUND('Model Parameters'!$G$2+'Model Parameters'!$G$5*((B86-'Model Parameters'!$G$3)/'Model Parameters'!$G$4)+'Model Parameters'!$G$6*IF(C86="Yes",1,0)+SUMIFS('Model Parameters'!$C$2:$C$46,'Model Parameters'!$A$2:$A$46,"entry_product",'Model Parameters'!$B$2:$B$46,D86)+SUMIFS('Model Parameters'!$C$2:$C$46,'Model Parameters'!$A$2:$A$46,"sales_channel",'Model Parameters'!$B$2:$B$46,E86)+SUMIFS('Model Parameters'!$C$2:$C$46,'Model Parameters'!$A$2:$A$46,"gender",'Model Parameters'!$B$2:$B$46,F86)+SUMIFS('Model Parameters'!$C$2:$C$46,'Model Parameters'!$A$2:$A$46,"education",'Model Parameters'!$B$2:$B$46,G86)+SUMIFS('Model Parameters'!$C$2:$C$46,'Model Parameters'!$A$2:$A$46,"purchase_month",'Model Parameters'!$B$2:$B$46,TEXT(H86,"0"))+SUMIFS('Model Parameters'!$C$2:$C$46,'Model Parameters'!$A$2:$A$46,"purchase_day_of_week",'Model Parameters'!$B$2:$B$46,I86),2))</f>
        <v/>
      </c>
      <c r="K86" s="9">
        <f>IF(B86="","",'Model Parameters'!$G$5*((B86-'Model Parameters'!$G$3)/'Model Parameters'!$G$4))</f>
        <v/>
      </c>
      <c r="L86" s="9">
        <f>IF(B86="","",'Model Parameters'!$G$6*IF(C86="Yes",1,0))</f>
        <v/>
      </c>
      <c r="M86" s="9">
        <f>IF(B86="","",SUMIFS('Model Parameters'!$C$2:$C$46,'Model Parameters'!$A$2:$A$46,"entry_product",'Model Parameters'!$B$2:$B$46,D86))</f>
        <v/>
      </c>
      <c r="N86" s="9">
        <f>IF(B86="","",SUMIFS('Model Parameters'!$C$2:$C$46,'Model Parameters'!$A$2:$A$46,"sales_channel",'Model Parameters'!$B$2:$B$46,E86))</f>
        <v/>
      </c>
      <c r="O86" s="9">
        <f>IF(B86="","",SUMIFS('Model Parameters'!$C$2:$C$46,'Model Parameters'!$A$2:$A$46,"gender",'Model Parameters'!$B$2:$B$46,F86))</f>
        <v/>
      </c>
      <c r="P86" s="9">
        <f>IF(B86="","",SUMIFS('Model Parameters'!$C$2:$C$46,'Model Parameters'!$A$2:$A$46,"education",'Model Parameters'!$B$2:$B$46,G86))</f>
        <v/>
      </c>
      <c r="Q86" s="9">
        <f>IF(B86="","",SUMIFS('Model Parameters'!$C$2:$C$46,'Model Parameters'!$A$2:$A$46,"purchase_month",'Model Parameters'!$B$2:$B$46,TEXT(H86,"0")))</f>
        <v/>
      </c>
      <c r="R86" s="9">
        <f>IF(B86="","",SUMIFS('Model Parameters'!$C$2:$C$46,'Model Parameters'!$A$2:$A$46,"purchase_day_of_week",'Model Parameters'!$B$2:$B$46,I86))</f>
        <v/>
      </c>
      <c r="S86">
        <f>IF(COUNTA(B86:I86)=0,"Waiting for input",IF(COUNTA(B86:I86)&lt;8,"Incomplete","Calculated"))</f>
        <v/>
      </c>
    </row>
    <row r="87">
      <c r="A87" s="7" t="inlineStr">
        <is>
          <t>CUST-079</t>
        </is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9">
        <f>IF(COUNTA(B87:I87)&lt;8,"",ROUND('Model Parameters'!$G$2+'Model Parameters'!$G$5*((B87-'Model Parameters'!$G$3)/'Model Parameters'!$G$4)+'Model Parameters'!$G$6*IF(C87="Yes",1,0)+SUMIFS('Model Parameters'!$C$2:$C$46,'Model Parameters'!$A$2:$A$46,"entry_product",'Model Parameters'!$B$2:$B$46,D87)+SUMIFS('Model Parameters'!$C$2:$C$46,'Model Parameters'!$A$2:$A$46,"sales_channel",'Model Parameters'!$B$2:$B$46,E87)+SUMIFS('Model Parameters'!$C$2:$C$46,'Model Parameters'!$A$2:$A$46,"gender",'Model Parameters'!$B$2:$B$46,F87)+SUMIFS('Model Parameters'!$C$2:$C$46,'Model Parameters'!$A$2:$A$46,"education",'Model Parameters'!$B$2:$B$46,G87)+SUMIFS('Model Parameters'!$C$2:$C$46,'Model Parameters'!$A$2:$A$46,"purchase_month",'Model Parameters'!$B$2:$B$46,TEXT(H87,"0"))+SUMIFS('Model Parameters'!$C$2:$C$46,'Model Parameters'!$A$2:$A$46,"purchase_day_of_week",'Model Parameters'!$B$2:$B$46,I87),2))</f>
        <v/>
      </c>
      <c r="K87" s="9">
        <f>IF(B87="","",'Model Parameters'!$G$5*((B87-'Model Parameters'!$G$3)/'Model Parameters'!$G$4))</f>
        <v/>
      </c>
      <c r="L87" s="9">
        <f>IF(B87="","",'Model Parameters'!$G$6*IF(C87="Yes",1,0))</f>
        <v/>
      </c>
      <c r="M87" s="9">
        <f>IF(B87="","",SUMIFS('Model Parameters'!$C$2:$C$46,'Model Parameters'!$A$2:$A$46,"entry_product",'Model Parameters'!$B$2:$B$46,D87))</f>
        <v/>
      </c>
      <c r="N87" s="9">
        <f>IF(B87="","",SUMIFS('Model Parameters'!$C$2:$C$46,'Model Parameters'!$A$2:$A$46,"sales_channel",'Model Parameters'!$B$2:$B$46,E87))</f>
        <v/>
      </c>
      <c r="O87" s="9">
        <f>IF(B87="","",SUMIFS('Model Parameters'!$C$2:$C$46,'Model Parameters'!$A$2:$A$46,"gender",'Model Parameters'!$B$2:$B$46,F87))</f>
        <v/>
      </c>
      <c r="P87" s="9">
        <f>IF(B87="","",SUMIFS('Model Parameters'!$C$2:$C$46,'Model Parameters'!$A$2:$A$46,"education",'Model Parameters'!$B$2:$B$46,G87))</f>
        <v/>
      </c>
      <c r="Q87" s="9">
        <f>IF(B87="","",SUMIFS('Model Parameters'!$C$2:$C$46,'Model Parameters'!$A$2:$A$46,"purchase_month",'Model Parameters'!$B$2:$B$46,TEXT(H87,"0")))</f>
        <v/>
      </c>
      <c r="R87" s="9">
        <f>IF(B87="","",SUMIFS('Model Parameters'!$C$2:$C$46,'Model Parameters'!$A$2:$A$46,"purchase_day_of_week",'Model Parameters'!$B$2:$B$46,I87))</f>
        <v/>
      </c>
      <c r="S87">
        <f>IF(COUNTA(B87:I87)=0,"Waiting for input",IF(COUNTA(B87:I87)&lt;8,"Incomplete","Calculated"))</f>
        <v/>
      </c>
    </row>
    <row r="88">
      <c r="A88" s="7" t="inlineStr">
        <is>
          <t>CUST-080</t>
        </is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9">
        <f>IF(COUNTA(B88:I88)&lt;8,"",ROUND('Model Parameters'!$G$2+'Model Parameters'!$G$5*((B88-'Model Parameters'!$G$3)/'Model Parameters'!$G$4)+'Model Parameters'!$G$6*IF(C88="Yes",1,0)+SUMIFS('Model Parameters'!$C$2:$C$46,'Model Parameters'!$A$2:$A$46,"entry_product",'Model Parameters'!$B$2:$B$46,D88)+SUMIFS('Model Parameters'!$C$2:$C$46,'Model Parameters'!$A$2:$A$46,"sales_channel",'Model Parameters'!$B$2:$B$46,E88)+SUMIFS('Model Parameters'!$C$2:$C$46,'Model Parameters'!$A$2:$A$46,"gender",'Model Parameters'!$B$2:$B$46,F88)+SUMIFS('Model Parameters'!$C$2:$C$46,'Model Parameters'!$A$2:$A$46,"education",'Model Parameters'!$B$2:$B$46,G88)+SUMIFS('Model Parameters'!$C$2:$C$46,'Model Parameters'!$A$2:$A$46,"purchase_month",'Model Parameters'!$B$2:$B$46,TEXT(H88,"0"))+SUMIFS('Model Parameters'!$C$2:$C$46,'Model Parameters'!$A$2:$A$46,"purchase_day_of_week",'Model Parameters'!$B$2:$B$46,I88),2))</f>
        <v/>
      </c>
      <c r="K88" s="9">
        <f>IF(B88="","",'Model Parameters'!$G$5*((B88-'Model Parameters'!$G$3)/'Model Parameters'!$G$4))</f>
        <v/>
      </c>
      <c r="L88" s="9">
        <f>IF(B88="","",'Model Parameters'!$G$6*IF(C88="Yes",1,0))</f>
        <v/>
      </c>
      <c r="M88" s="9">
        <f>IF(B88="","",SUMIFS('Model Parameters'!$C$2:$C$46,'Model Parameters'!$A$2:$A$46,"entry_product",'Model Parameters'!$B$2:$B$46,D88))</f>
        <v/>
      </c>
      <c r="N88" s="9">
        <f>IF(B88="","",SUMIFS('Model Parameters'!$C$2:$C$46,'Model Parameters'!$A$2:$A$46,"sales_channel",'Model Parameters'!$B$2:$B$46,E88))</f>
        <v/>
      </c>
      <c r="O88" s="9">
        <f>IF(B88="","",SUMIFS('Model Parameters'!$C$2:$C$46,'Model Parameters'!$A$2:$A$46,"gender",'Model Parameters'!$B$2:$B$46,F88))</f>
        <v/>
      </c>
      <c r="P88" s="9">
        <f>IF(B88="","",SUMIFS('Model Parameters'!$C$2:$C$46,'Model Parameters'!$A$2:$A$46,"education",'Model Parameters'!$B$2:$B$46,G88))</f>
        <v/>
      </c>
      <c r="Q88" s="9">
        <f>IF(B88="","",SUMIFS('Model Parameters'!$C$2:$C$46,'Model Parameters'!$A$2:$A$46,"purchase_month",'Model Parameters'!$B$2:$B$46,TEXT(H88,"0")))</f>
        <v/>
      </c>
      <c r="R88" s="9">
        <f>IF(B88="","",SUMIFS('Model Parameters'!$C$2:$C$46,'Model Parameters'!$A$2:$A$46,"purchase_day_of_week",'Model Parameters'!$B$2:$B$46,I88))</f>
        <v/>
      </c>
      <c r="S88">
        <f>IF(COUNTA(B88:I88)=0,"Waiting for input",IF(COUNTA(B88:I88)&lt;8,"Incomplete","Calculated"))</f>
        <v/>
      </c>
    </row>
    <row r="89">
      <c r="A89" s="7" t="inlineStr">
        <is>
          <t>CUST-081</t>
        </is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9">
        <f>IF(COUNTA(B89:I89)&lt;8,"",ROUND('Model Parameters'!$G$2+'Model Parameters'!$G$5*((B89-'Model Parameters'!$G$3)/'Model Parameters'!$G$4)+'Model Parameters'!$G$6*IF(C89="Yes",1,0)+SUMIFS('Model Parameters'!$C$2:$C$46,'Model Parameters'!$A$2:$A$46,"entry_product",'Model Parameters'!$B$2:$B$46,D89)+SUMIFS('Model Parameters'!$C$2:$C$46,'Model Parameters'!$A$2:$A$46,"sales_channel",'Model Parameters'!$B$2:$B$46,E89)+SUMIFS('Model Parameters'!$C$2:$C$46,'Model Parameters'!$A$2:$A$46,"gender",'Model Parameters'!$B$2:$B$46,F89)+SUMIFS('Model Parameters'!$C$2:$C$46,'Model Parameters'!$A$2:$A$46,"education",'Model Parameters'!$B$2:$B$46,G89)+SUMIFS('Model Parameters'!$C$2:$C$46,'Model Parameters'!$A$2:$A$46,"purchase_month",'Model Parameters'!$B$2:$B$46,TEXT(H89,"0"))+SUMIFS('Model Parameters'!$C$2:$C$46,'Model Parameters'!$A$2:$A$46,"purchase_day_of_week",'Model Parameters'!$B$2:$B$46,I89),2))</f>
        <v/>
      </c>
      <c r="K89" s="9">
        <f>IF(B89="","",'Model Parameters'!$G$5*((B89-'Model Parameters'!$G$3)/'Model Parameters'!$G$4))</f>
        <v/>
      </c>
      <c r="L89" s="9">
        <f>IF(B89="","",'Model Parameters'!$G$6*IF(C89="Yes",1,0))</f>
        <v/>
      </c>
      <c r="M89" s="9">
        <f>IF(B89="","",SUMIFS('Model Parameters'!$C$2:$C$46,'Model Parameters'!$A$2:$A$46,"entry_product",'Model Parameters'!$B$2:$B$46,D89))</f>
        <v/>
      </c>
      <c r="N89" s="9">
        <f>IF(B89="","",SUMIFS('Model Parameters'!$C$2:$C$46,'Model Parameters'!$A$2:$A$46,"sales_channel",'Model Parameters'!$B$2:$B$46,E89))</f>
        <v/>
      </c>
      <c r="O89" s="9">
        <f>IF(B89="","",SUMIFS('Model Parameters'!$C$2:$C$46,'Model Parameters'!$A$2:$A$46,"gender",'Model Parameters'!$B$2:$B$46,F89))</f>
        <v/>
      </c>
      <c r="P89" s="9">
        <f>IF(B89="","",SUMIFS('Model Parameters'!$C$2:$C$46,'Model Parameters'!$A$2:$A$46,"education",'Model Parameters'!$B$2:$B$46,G89))</f>
        <v/>
      </c>
      <c r="Q89" s="9">
        <f>IF(B89="","",SUMIFS('Model Parameters'!$C$2:$C$46,'Model Parameters'!$A$2:$A$46,"purchase_month",'Model Parameters'!$B$2:$B$46,TEXT(H89,"0")))</f>
        <v/>
      </c>
      <c r="R89" s="9">
        <f>IF(B89="","",SUMIFS('Model Parameters'!$C$2:$C$46,'Model Parameters'!$A$2:$A$46,"purchase_day_of_week",'Model Parameters'!$B$2:$B$46,I89))</f>
        <v/>
      </c>
      <c r="S89">
        <f>IF(COUNTA(B89:I89)=0,"Waiting for input",IF(COUNTA(B89:I89)&lt;8,"Incomplete","Calculated"))</f>
        <v/>
      </c>
    </row>
    <row r="90">
      <c r="A90" s="7" t="inlineStr">
        <is>
          <t>CUST-082</t>
        </is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9">
        <f>IF(COUNTA(B90:I90)&lt;8,"",ROUND('Model Parameters'!$G$2+'Model Parameters'!$G$5*((B90-'Model Parameters'!$G$3)/'Model Parameters'!$G$4)+'Model Parameters'!$G$6*IF(C90="Yes",1,0)+SUMIFS('Model Parameters'!$C$2:$C$46,'Model Parameters'!$A$2:$A$46,"entry_product",'Model Parameters'!$B$2:$B$46,D90)+SUMIFS('Model Parameters'!$C$2:$C$46,'Model Parameters'!$A$2:$A$46,"sales_channel",'Model Parameters'!$B$2:$B$46,E90)+SUMIFS('Model Parameters'!$C$2:$C$46,'Model Parameters'!$A$2:$A$46,"gender",'Model Parameters'!$B$2:$B$46,F90)+SUMIFS('Model Parameters'!$C$2:$C$46,'Model Parameters'!$A$2:$A$46,"education",'Model Parameters'!$B$2:$B$46,G90)+SUMIFS('Model Parameters'!$C$2:$C$46,'Model Parameters'!$A$2:$A$46,"purchase_month",'Model Parameters'!$B$2:$B$46,TEXT(H90,"0"))+SUMIFS('Model Parameters'!$C$2:$C$46,'Model Parameters'!$A$2:$A$46,"purchase_day_of_week",'Model Parameters'!$B$2:$B$46,I90),2))</f>
        <v/>
      </c>
      <c r="K90" s="9">
        <f>IF(B90="","",'Model Parameters'!$G$5*((B90-'Model Parameters'!$G$3)/'Model Parameters'!$G$4))</f>
        <v/>
      </c>
      <c r="L90" s="9">
        <f>IF(B90="","",'Model Parameters'!$G$6*IF(C90="Yes",1,0))</f>
        <v/>
      </c>
      <c r="M90" s="9">
        <f>IF(B90="","",SUMIFS('Model Parameters'!$C$2:$C$46,'Model Parameters'!$A$2:$A$46,"entry_product",'Model Parameters'!$B$2:$B$46,D90))</f>
        <v/>
      </c>
      <c r="N90" s="9">
        <f>IF(B90="","",SUMIFS('Model Parameters'!$C$2:$C$46,'Model Parameters'!$A$2:$A$46,"sales_channel",'Model Parameters'!$B$2:$B$46,E90))</f>
        <v/>
      </c>
      <c r="O90" s="9">
        <f>IF(B90="","",SUMIFS('Model Parameters'!$C$2:$C$46,'Model Parameters'!$A$2:$A$46,"gender",'Model Parameters'!$B$2:$B$46,F90))</f>
        <v/>
      </c>
      <c r="P90" s="9">
        <f>IF(B90="","",SUMIFS('Model Parameters'!$C$2:$C$46,'Model Parameters'!$A$2:$A$46,"education",'Model Parameters'!$B$2:$B$46,G90))</f>
        <v/>
      </c>
      <c r="Q90" s="9">
        <f>IF(B90="","",SUMIFS('Model Parameters'!$C$2:$C$46,'Model Parameters'!$A$2:$A$46,"purchase_month",'Model Parameters'!$B$2:$B$46,TEXT(H90,"0")))</f>
        <v/>
      </c>
      <c r="R90" s="9">
        <f>IF(B90="","",SUMIFS('Model Parameters'!$C$2:$C$46,'Model Parameters'!$A$2:$A$46,"purchase_day_of_week",'Model Parameters'!$B$2:$B$46,I90))</f>
        <v/>
      </c>
      <c r="S90">
        <f>IF(COUNTA(B90:I90)=0,"Waiting for input",IF(COUNTA(B90:I90)&lt;8,"Incomplete","Calculated"))</f>
        <v/>
      </c>
    </row>
    <row r="91">
      <c r="A91" s="7" t="inlineStr">
        <is>
          <t>CUST-083</t>
        </is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9">
        <f>IF(COUNTA(B91:I91)&lt;8,"",ROUND('Model Parameters'!$G$2+'Model Parameters'!$G$5*((B91-'Model Parameters'!$G$3)/'Model Parameters'!$G$4)+'Model Parameters'!$G$6*IF(C91="Yes",1,0)+SUMIFS('Model Parameters'!$C$2:$C$46,'Model Parameters'!$A$2:$A$46,"entry_product",'Model Parameters'!$B$2:$B$46,D91)+SUMIFS('Model Parameters'!$C$2:$C$46,'Model Parameters'!$A$2:$A$46,"sales_channel",'Model Parameters'!$B$2:$B$46,E91)+SUMIFS('Model Parameters'!$C$2:$C$46,'Model Parameters'!$A$2:$A$46,"gender",'Model Parameters'!$B$2:$B$46,F91)+SUMIFS('Model Parameters'!$C$2:$C$46,'Model Parameters'!$A$2:$A$46,"education",'Model Parameters'!$B$2:$B$46,G91)+SUMIFS('Model Parameters'!$C$2:$C$46,'Model Parameters'!$A$2:$A$46,"purchase_month",'Model Parameters'!$B$2:$B$46,TEXT(H91,"0"))+SUMIFS('Model Parameters'!$C$2:$C$46,'Model Parameters'!$A$2:$A$46,"purchase_day_of_week",'Model Parameters'!$B$2:$B$46,I91),2))</f>
        <v/>
      </c>
      <c r="K91" s="9">
        <f>IF(B91="","",'Model Parameters'!$G$5*((B91-'Model Parameters'!$G$3)/'Model Parameters'!$G$4))</f>
        <v/>
      </c>
      <c r="L91" s="9">
        <f>IF(B91="","",'Model Parameters'!$G$6*IF(C91="Yes",1,0))</f>
        <v/>
      </c>
      <c r="M91" s="9">
        <f>IF(B91="","",SUMIFS('Model Parameters'!$C$2:$C$46,'Model Parameters'!$A$2:$A$46,"entry_product",'Model Parameters'!$B$2:$B$46,D91))</f>
        <v/>
      </c>
      <c r="N91" s="9">
        <f>IF(B91="","",SUMIFS('Model Parameters'!$C$2:$C$46,'Model Parameters'!$A$2:$A$46,"sales_channel",'Model Parameters'!$B$2:$B$46,E91))</f>
        <v/>
      </c>
      <c r="O91" s="9">
        <f>IF(B91="","",SUMIFS('Model Parameters'!$C$2:$C$46,'Model Parameters'!$A$2:$A$46,"gender",'Model Parameters'!$B$2:$B$46,F91))</f>
        <v/>
      </c>
      <c r="P91" s="9">
        <f>IF(B91="","",SUMIFS('Model Parameters'!$C$2:$C$46,'Model Parameters'!$A$2:$A$46,"education",'Model Parameters'!$B$2:$B$46,G91))</f>
        <v/>
      </c>
      <c r="Q91" s="9">
        <f>IF(B91="","",SUMIFS('Model Parameters'!$C$2:$C$46,'Model Parameters'!$A$2:$A$46,"purchase_month",'Model Parameters'!$B$2:$B$46,TEXT(H91,"0")))</f>
        <v/>
      </c>
      <c r="R91" s="9">
        <f>IF(B91="","",SUMIFS('Model Parameters'!$C$2:$C$46,'Model Parameters'!$A$2:$A$46,"purchase_day_of_week",'Model Parameters'!$B$2:$B$46,I91))</f>
        <v/>
      </c>
      <c r="S91">
        <f>IF(COUNTA(B91:I91)=0,"Waiting for input",IF(COUNTA(B91:I91)&lt;8,"Incomplete","Calculated"))</f>
        <v/>
      </c>
    </row>
    <row r="92">
      <c r="A92" s="7" t="inlineStr">
        <is>
          <t>CUST-084</t>
        </is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9">
        <f>IF(COUNTA(B92:I92)&lt;8,"",ROUND('Model Parameters'!$G$2+'Model Parameters'!$G$5*((B92-'Model Parameters'!$G$3)/'Model Parameters'!$G$4)+'Model Parameters'!$G$6*IF(C92="Yes",1,0)+SUMIFS('Model Parameters'!$C$2:$C$46,'Model Parameters'!$A$2:$A$46,"entry_product",'Model Parameters'!$B$2:$B$46,D92)+SUMIFS('Model Parameters'!$C$2:$C$46,'Model Parameters'!$A$2:$A$46,"sales_channel",'Model Parameters'!$B$2:$B$46,E92)+SUMIFS('Model Parameters'!$C$2:$C$46,'Model Parameters'!$A$2:$A$46,"gender",'Model Parameters'!$B$2:$B$46,F92)+SUMIFS('Model Parameters'!$C$2:$C$46,'Model Parameters'!$A$2:$A$46,"education",'Model Parameters'!$B$2:$B$46,G92)+SUMIFS('Model Parameters'!$C$2:$C$46,'Model Parameters'!$A$2:$A$46,"purchase_month",'Model Parameters'!$B$2:$B$46,TEXT(H92,"0"))+SUMIFS('Model Parameters'!$C$2:$C$46,'Model Parameters'!$A$2:$A$46,"purchase_day_of_week",'Model Parameters'!$B$2:$B$46,I92),2))</f>
        <v/>
      </c>
      <c r="K92" s="9">
        <f>IF(B92="","",'Model Parameters'!$G$5*((B92-'Model Parameters'!$G$3)/'Model Parameters'!$G$4))</f>
        <v/>
      </c>
      <c r="L92" s="9">
        <f>IF(B92="","",'Model Parameters'!$G$6*IF(C92="Yes",1,0))</f>
        <v/>
      </c>
      <c r="M92" s="9">
        <f>IF(B92="","",SUMIFS('Model Parameters'!$C$2:$C$46,'Model Parameters'!$A$2:$A$46,"entry_product",'Model Parameters'!$B$2:$B$46,D92))</f>
        <v/>
      </c>
      <c r="N92" s="9">
        <f>IF(B92="","",SUMIFS('Model Parameters'!$C$2:$C$46,'Model Parameters'!$A$2:$A$46,"sales_channel",'Model Parameters'!$B$2:$B$46,E92))</f>
        <v/>
      </c>
      <c r="O92" s="9">
        <f>IF(B92="","",SUMIFS('Model Parameters'!$C$2:$C$46,'Model Parameters'!$A$2:$A$46,"gender",'Model Parameters'!$B$2:$B$46,F92))</f>
        <v/>
      </c>
      <c r="P92" s="9">
        <f>IF(B92="","",SUMIFS('Model Parameters'!$C$2:$C$46,'Model Parameters'!$A$2:$A$46,"education",'Model Parameters'!$B$2:$B$46,G92))</f>
        <v/>
      </c>
      <c r="Q92" s="9">
        <f>IF(B92="","",SUMIFS('Model Parameters'!$C$2:$C$46,'Model Parameters'!$A$2:$A$46,"purchase_month",'Model Parameters'!$B$2:$B$46,TEXT(H92,"0")))</f>
        <v/>
      </c>
      <c r="R92" s="9">
        <f>IF(B92="","",SUMIFS('Model Parameters'!$C$2:$C$46,'Model Parameters'!$A$2:$A$46,"purchase_day_of_week",'Model Parameters'!$B$2:$B$46,I92))</f>
        <v/>
      </c>
      <c r="S92">
        <f>IF(COUNTA(B92:I92)=0,"Waiting for input",IF(COUNTA(B92:I92)&lt;8,"Incomplete","Calculated"))</f>
        <v/>
      </c>
    </row>
    <row r="93">
      <c r="A93" s="7" t="inlineStr">
        <is>
          <t>CUST-085</t>
        </is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9">
        <f>IF(COUNTA(B93:I93)&lt;8,"",ROUND('Model Parameters'!$G$2+'Model Parameters'!$G$5*((B93-'Model Parameters'!$G$3)/'Model Parameters'!$G$4)+'Model Parameters'!$G$6*IF(C93="Yes",1,0)+SUMIFS('Model Parameters'!$C$2:$C$46,'Model Parameters'!$A$2:$A$46,"entry_product",'Model Parameters'!$B$2:$B$46,D93)+SUMIFS('Model Parameters'!$C$2:$C$46,'Model Parameters'!$A$2:$A$46,"sales_channel",'Model Parameters'!$B$2:$B$46,E93)+SUMIFS('Model Parameters'!$C$2:$C$46,'Model Parameters'!$A$2:$A$46,"gender",'Model Parameters'!$B$2:$B$46,F93)+SUMIFS('Model Parameters'!$C$2:$C$46,'Model Parameters'!$A$2:$A$46,"education",'Model Parameters'!$B$2:$B$46,G93)+SUMIFS('Model Parameters'!$C$2:$C$46,'Model Parameters'!$A$2:$A$46,"purchase_month",'Model Parameters'!$B$2:$B$46,TEXT(H93,"0"))+SUMIFS('Model Parameters'!$C$2:$C$46,'Model Parameters'!$A$2:$A$46,"purchase_day_of_week",'Model Parameters'!$B$2:$B$46,I93),2))</f>
        <v/>
      </c>
      <c r="K93" s="9">
        <f>IF(B93="","",'Model Parameters'!$G$5*((B93-'Model Parameters'!$G$3)/'Model Parameters'!$G$4))</f>
        <v/>
      </c>
      <c r="L93" s="9">
        <f>IF(B93="","",'Model Parameters'!$G$6*IF(C93="Yes",1,0))</f>
        <v/>
      </c>
      <c r="M93" s="9">
        <f>IF(B93="","",SUMIFS('Model Parameters'!$C$2:$C$46,'Model Parameters'!$A$2:$A$46,"entry_product",'Model Parameters'!$B$2:$B$46,D93))</f>
        <v/>
      </c>
      <c r="N93" s="9">
        <f>IF(B93="","",SUMIFS('Model Parameters'!$C$2:$C$46,'Model Parameters'!$A$2:$A$46,"sales_channel",'Model Parameters'!$B$2:$B$46,E93))</f>
        <v/>
      </c>
      <c r="O93" s="9">
        <f>IF(B93="","",SUMIFS('Model Parameters'!$C$2:$C$46,'Model Parameters'!$A$2:$A$46,"gender",'Model Parameters'!$B$2:$B$46,F93))</f>
        <v/>
      </c>
      <c r="P93" s="9">
        <f>IF(B93="","",SUMIFS('Model Parameters'!$C$2:$C$46,'Model Parameters'!$A$2:$A$46,"education",'Model Parameters'!$B$2:$B$46,G93))</f>
        <v/>
      </c>
      <c r="Q93" s="9">
        <f>IF(B93="","",SUMIFS('Model Parameters'!$C$2:$C$46,'Model Parameters'!$A$2:$A$46,"purchase_month",'Model Parameters'!$B$2:$B$46,TEXT(H93,"0")))</f>
        <v/>
      </c>
      <c r="R93" s="9">
        <f>IF(B93="","",SUMIFS('Model Parameters'!$C$2:$C$46,'Model Parameters'!$A$2:$A$46,"purchase_day_of_week",'Model Parameters'!$B$2:$B$46,I93))</f>
        <v/>
      </c>
      <c r="S93">
        <f>IF(COUNTA(B93:I93)=0,"Waiting for input",IF(COUNTA(B93:I93)&lt;8,"Incomplete","Calculated"))</f>
        <v/>
      </c>
    </row>
    <row r="94">
      <c r="A94" s="7" t="inlineStr">
        <is>
          <t>CUST-086</t>
        </is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9">
        <f>IF(COUNTA(B94:I94)&lt;8,"",ROUND('Model Parameters'!$G$2+'Model Parameters'!$G$5*((B94-'Model Parameters'!$G$3)/'Model Parameters'!$G$4)+'Model Parameters'!$G$6*IF(C94="Yes",1,0)+SUMIFS('Model Parameters'!$C$2:$C$46,'Model Parameters'!$A$2:$A$46,"entry_product",'Model Parameters'!$B$2:$B$46,D94)+SUMIFS('Model Parameters'!$C$2:$C$46,'Model Parameters'!$A$2:$A$46,"sales_channel",'Model Parameters'!$B$2:$B$46,E94)+SUMIFS('Model Parameters'!$C$2:$C$46,'Model Parameters'!$A$2:$A$46,"gender",'Model Parameters'!$B$2:$B$46,F94)+SUMIFS('Model Parameters'!$C$2:$C$46,'Model Parameters'!$A$2:$A$46,"education",'Model Parameters'!$B$2:$B$46,G94)+SUMIFS('Model Parameters'!$C$2:$C$46,'Model Parameters'!$A$2:$A$46,"purchase_month",'Model Parameters'!$B$2:$B$46,TEXT(H94,"0"))+SUMIFS('Model Parameters'!$C$2:$C$46,'Model Parameters'!$A$2:$A$46,"purchase_day_of_week",'Model Parameters'!$B$2:$B$46,I94),2))</f>
        <v/>
      </c>
      <c r="K94" s="9">
        <f>IF(B94="","",'Model Parameters'!$G$5*((B94-'Model Parameters'!$G$3)/'Model Parameters'!$G$4))</f>
        <v/>
      </c>
      <c r="L94" s="9">
        <f>IF(B94="","",'Model Parameters'!$G$6*IF(C94="Yes",1,0))</f>
        <v/>
      </c>
      <c r="M94" s="9">
        <f>IF(B94="","",SUMIFS('Model Parameters'!$C$2:$C$46,'Model Parameters'!$A$2:$A$46,"entry_product",'Model Parameters'!$B$2:$B$46,D94))</f>
        <v/>
      </c>
      <c r="N94" s="9">
        <f>IF(B94="","",SUMIFS('Model Parameters'!$C$2:$C$46,'Model Parameters'!$A$2:$A$46,"sales_channel",'Model Parameters'!$B$2:$B$46,E94))</f>
        <v/>
      </c>
      <c r="O94" s="9">
        <f>IF(B94="","",SUMIFS('Model Parameters'!$C$2:$C$46,'Model Parameters'!$A$2:$A$46,"gender",'Model Parameters'!$B$2:$B$46,F94))</f>
        <v/>
      </c>
      <c r="P94" s="9">
        <f>IF(B94="","",SUMIFS('Model Parameters'!$C$2:$C$46,'Model Parameters'!$A$2:$A$46,"education",'Model Parameters'!$B$2:$B$46,G94))</f>
        <v/>
      </c>
      <c r="Q94" s="9">
        <f>IF(B94="","",SUMIFS('Model Parameters'!$C$2:$C$46,'Model Parameters'!$A$2:$A$46,"purchase_month",'Model Parameters'!$B$2:$B$46,TEXT(H94,"0")))</f>
        <v/>
      </c>
      <c r="R94" s="9">
        <f>IF(B94="","",SUMIFS('Model Parameters'!$C$2:$C$46,'Model Parameters'!$A$2:$A$46,"purchase_day_of_week",'Model Parameters'!$B$2:$B$46,I94))</f>
        <v/>
      </c>
      <c r="S94">
        <f>IF(COUNTA(B94:I94)=0,"Waiting for input",IF(COUNTA(B94:I94)&lt;8,"Incomplete","Calculated"))</f>
        <v/>
      </c>
    </row>
    <row r="95">
      <c r="A95" s="7" t="inlineStr">
        <is>
          <t>CUST-087</t>
        </is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9">
        <f>IF(COUNTA(B95:I95)&lt;8,"",ROUND('Model Parameters'!$G$2+'Model Parameters'!$G$5*((B95-'Model Parameters'!$G$3)/'Model Parameters'!$G$4)+'Model Parameters'!$G$6*IF(C95="Yes",1,0)+SUMIFS('Model Parameters'!$C$2:$C$46,'Model Parameters'!$A$2:$A$46,"entry_product",'Model Parameters'!$B$2:$B$46,D95)+SUMIFS('Model Parameters'!$C$2:$C$46,'Model Parameters'!$A$2:$A$46,"sales_channel",'Model Parameters'!$B$2:$B$46,E95)+SUMIFS('Model Parameters'!$C$2:$C$46,'Model Parameters'!$A$2:$A$46,"gender",'Model Parameters'!$B$2:$B$46,F95)+SUMIFS('Model Parameters'!$C$2:$C$46,'Model Parameters'!$A$2:$A$46,"education",'Model Parameters'!$B$2:$B$46,G95)+SUMIFS('Model Parameters'!$C$2:$C$46,'Model Parameters'!$A$2:$A$46,"purchase_month",'Model Parameters'!$B$2:$B$46,TEXT(H95,"0"))+SUMIFS('Model Parameters'!$C$2:$C$46,'Model Parameters'!$A$2:$A$46,"purchase_day_of_week",'Model Parameters'!$B$2:$B$46,I95),2))</f>
        <v/>
      </c>
      <c r="K95" s="9">
        <f>IF(B95="","",'Model Parameters'!$G$5*((B95-'Model Parameters'!$G$3)/'Model Parameters'!$G$4))</f>
        <v/>
      </c>
      <c r="L95" s="9">
        <f>IF(B95="","",'Model Parameters'!$G$6*IF(C95="Yes",1,0))</f>
        <v/>
      </c>
      <c r="M95" s="9">
        <f>IF(B95="","",SUMIFS('Model Parameters'!$C$2:$C$46,'Model Parameters'!$A$2:$A$46,"entry_product",'Model Parameters'!$B$2:$B$46,D95))</f>
        <v/>
      </c>
      <c r="N95" s="9">
        <f>IF(B95="","",SUMIFS('Model Parameters'!$C$2:$C$46,'Model Parameters'!$A$2:$A$46,"sales_channel",'Model Parameters'!$B$2:$B$46,E95))</f>
        <v/>
      </c>
      <c r="O95" s="9">
        <f>IF(B95="","",SUMIFS('Model Parameters'!$C$2:$C$46,'Model Parameters'!$A$2:$A$46,"gender",'Model Parameters'!$B$2:$B$46,F95))</f>
        <v/>
      </c>
      <c r="P95" s="9">
        <f>IF(B95="","",SUMIFS('Model Parameters'!$C$2:$C$46,'Model Parameters'!$A$2:$A$46,"education",'Model Parameters'!$B$2:$B$46,G95))</f>
        <v/>
      </c>
      <c r="Q95" s="9">
        <f>IF(B95="","",SUMIFS('Model Parameters'!$C$2:$C$46,'Model Parameters'!$A$2:$A$46,"purchase_month",'Model Parameters'!$B$2:$B$46,TEXT(H95,"0")))</f>
        <v/>
      </c>
      <c r="R95" s="9">
        <f>IF(B95="","",SUMIFS('Model Parameters'!$C$2:$C$46,'Model Parameters'!$A$2:$A$46,"purchase_day_of_week",'Model Parameters'!$B$2:$B$46,I95))</f>
        <v/>
      </c>
      <c r="S95">
        <f>IF(COUNTA(B95:I95)=0,"Waiting for input",IF(COUNTA(B95:I95)&lt;8,"Incomplete","Calculated"))</f>
        <v/>
      </c>
    </row>
    <row r="96">
      <c r="A96" s="7" t="inlineStr">
        <is>
          <t>CUST-088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9">
        <f>IF(COUNTA(B96:I96)&lt;8,"",ROUND('Model Parameters'!$G$2+'Model Parameters'!$G$5*((B96-'Model Parameters'!$G$3)/'Model Parameters'!$G$4)+'Model Parameters'!$G$6*IF(C96="Yes",1,0)+SUMIFS('Model Parameters'!$C$2:$C$46,'Model Parameters'!$A$2:$A$46,"entry_product",'Model Parameters'!$B$2:$B$46,D96)+SUMIFS('Model Parameters'!$C$2:$C$46,'Model Parameters'!$A$2:$A$46,"sales_channel",'Model Parameters'!$B$2:$B$46,E96)+SUMIFS('Model Parameters'!$C$2:$C$46,'Model Parameters'!$A$2:$A$46,"gender",'Model Parameters'!$B$2:$B$46,F96)+SUMIFS('Model Parameters'!$C$2:$C$46,'Model Parameters'!$A$2:$A$46,"education",'Model Parameters'!$B$2:$B$46,G96)+SUMIFS('Model Parameters'!$C$2:$C$46,'Model Parameters'!$A$2:$A$46,"purchase_month",'Model Parameters'!$B$2:$B$46,TEXT(H96,"0"))+SUMIFS('Model Parameters'!$C$2:$C$46,'Model Parameters'!$A$2:$A$46,"purchase_day_of_week",'Model Parameters'!$B$2:$B$46,I96),2))</f>
        <v/>
      </c>
      <c r="K96" s="9">
        <f>IF(B96="","",'Model Parameters'!$G$5*((B96-'Model Parameters'!$G$3)/'Model Parameters'!$G$4))</f>
        <v/>
      </c>
      <c r="L96" s="9">
        <f>IF(B96="","",'Model Parameters'!$G$6*IF(C96="Yes",1,0))</f>
        <v/>
      </c>
      <c r="M96" s="9">
        <f>IF(B96="","",SUMIFS('Model Parameters'!$C$2:$C$46,'Model Parameters'!$A$2:$A$46,"entry_product",'Model Parameters'!$B$2:$B$46,D96))</f>
        <v/>
      </c>
      <c r="N96" s="9">
        <f>IF(B96="","",SUMIFS('Model Parameters'!$C$2:$C$46,'Model Parameters'!$A$2:$A$46,"sales_channel",'Model Parameters'!$B$2:$B$46,E96))</f>
        <v/>
      </c>
      <c r="O96" s="9">
        <f>IF(B96="","",SUMIFS('Model Parameters'!$C$2:$C$46,'Model Parameters'!$A$2:$A$46,"gender",'Model Parameters'!$B$2:$B$46,F96))</f>
        <v/>
      </c>
      <c r="P96" s="9">
        <f>IF(B96="","",SUMIFS('Model Parameters'!$C$2:$C$46,'Model Parameters'!$A$2:$A$46,"education",'Model Parameters'!$B$2:$B$46,G96))</f>
        <v/>
      </c>
      <c r="Q96" s="9">
        <f>IF(B96="","",SUMIFS('Model Parameters'!$C$2:$C$46,'Model Parameters'!$A$2:$A$46,"purchase_month",'Model Parameters'!$B$2:$B$46,TEXT(H96,"0")))</f>
        <v/>
      </c>
      <c r="R96" s="9">
        <f>IF(B96="","",SUMIFS('Model Parameters'!$C$2:$C$46,'Model Parameters'!$A$2:$A$46,"purchase_day_of_week",'Model Parameters'!$B$2:$B$46,I96))</f>
        <v/>
      </c>
      <c r="S96">
        <f>IF(COUNTA(B96:I96)=0,"Waiting for input",IF(COUNTA(B96:I96)&lt;8,"Incomplete","Calculated"))</f>
        <v/>
      </c>
    </row>
    <row r="97">
      <c r="A97" s="7" t="inlineStr">
        <is>
          <t>CUST-089</t>
        </is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9">
        <f>IF(COUNTA(B97:I97)&lt;8,"",ROUND('Model Parameters'!$G$2+'Model Parameters'!$G$5*((B97-'Model Parameters'!$G$3)/'Model Parameters'!$G$4)+'Model Parameters'!$G$6*IF(C97="Yes",1,0)+SUMIFS('Model Parameters'!$C$2:$C$46,'Model Parameters'!$A$2:$A$46,"entry_product",'Model Parameters'!$B$2:$B$46,D97)+SUMIFS('Model Parameters'!$C$2:$C$46,'Model Parameters'!$A$2:$A$46,"sales_channel",'Model Parameters'!$B$2:$B$46,E97)+SUMIFS('Model Parameters'!$C$2:$C$46,'Model Parameters'!$A$2:$A$46,"gender",'Model Parameters'!$B$2:$B$46,F97)+SUMIFS('Model Parameters'!$C$2:$C$46,'Model Parameters'!$A$2:$A$46,"education",'Model Parameters'!$B$2:$B$46,G97)+SUMIFS('Model Parameters'!$C$2:$C$46,'Model Parameters'!$A$2:$A$46,"purchase_month",'Model Parameters'!$B$2:$B$46,TEXT(H97,"0"))+SUMIFS('Model Parameters'!$C$2:$C$46,'Model Parameters'!$A$2:$A$46,"purchase_day_of_week",'Model Parameters'!$B$2:$B$46,I97),2))</f>
        <v/>
      </c>
      <c r="K97" s="9">
        <f>IF(B97="","",'Model Parameters'!$G$5*((B97-'Model Parameters'!$G$3)/'Model Parameters'!$G$4))</f>
        <v/>
      </c>
      <c r="L97" s="9">
        <f>IF(B97="","",'Model Parameters'!$G$6*IF(C97="Yes",1,0))</f>
        <v/>
      </c>
      <c r="M97" s="9">
        <f>IF(B97="","",SUMIFS('Model Parameters'!$C$2:$C$46,'Model Parameters'!$A$2:$A$46,"entry_product",'Model Parameters'!$B$2:$B$46,D97))</f>
        <v/>
      </c>
      <c r="N97" s="9">
        <f>IF(B97="","",SUMIFS('Model Parameters'!$C$2:$C$46,'Model Parameters'!$A$2:$A$46,"sales_channel",'Model Parameters'!$B$2:$B$46,E97))</f>
        <v/>
      </c>
      <c r="O97" s="9">
        <f>IF(B97="","",SUMIFS('Model Parameters'!$C$2:$C$46,'Model Parameters'!$A$2:$A$46,"gender",'Model Parameters'!$B$2:$B$46,F97))</f>
        <v/>
      </c>
      <c r="P97" s="9">
        <f>IF(B97="","",SUMIFS('Model Parameters'!$C$2:$C$46,'Model Parameters'!$A$2:$A$46,"education",'Model Parameters'!$B$2:$B$46,G97))</f>
        <v/>
      </c>
      <c r="Q97" s="9">
        <f>IF(B97="","",SUMIFS('Model Parameters'!$C$2:$C$46,'Model Parameters'!$A$2:$A$46,"purchase_month",'Model Parameters'!$B$2:$B$46,TEXT(H97,"0")))</f>
        <v/>
      </c>
      <c r="R97" s="9">
        <f>IF(B97="","",SUMIFS('Model Parameters'!$C$2:$C$46,'Model Parameters'!$A$2:$A$46,"purchase_day_of_week",'Model Parameters'!$B$2:$B$46,I97))</f>
        <v/>
      </c>
      <c r="S97">
        <f>IF(COUNTA(B97:I97)=0,"Waiting for input",IF(COUNTA(B97:I97)&lt;8,"Incomplete","Calculated"))</f>
        <v/>
      </c>
    </row>
    <row r="98">
      <c r="A98" s="7" t="inlineStr">
        <is>
          <t>CUST-090</t>
        </is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9">
        <f>IF(COUNTA(B98:I98)&lt;8,"",ROUND('Model Parameters'!$G$2+'Model Parameters'!$G$5*((B98-'Model Parameters'!$G$3)/'Model Parameters'!$G$4)+'Model Parameters'!$G$6*IF(C98="Yes",1,0)+SUMIFS('Model Parameters'!$C$2:$C$46,'Model Parameters'!$A$2:$A$46,"entry_product",'Model Parameters'!$B$2:$B$46,D98)+SUMIFS('Model Parameters'!$C$2:$C$46,'Model Parameters'!$A$2:$A$46,"sales_channel",'Model Parameters'!$B$2:$B$46,E98)+SUMIFS('Model Parameters'!$C$2:$C$46,'Model Parameters'!$A$2:$A$46,"gender",'Model Parameters'!$B$2:$B$46,F98)+SUMIFS('Model Parameters'!$C$2:$C$46,'Model Parameters'!$A$2:$A$46,"education",'Model Parameters'!$B$2:$B$46,G98)+SUMIFS('Model Parameters'!$C$2:$C$46,'Model Parameters'!$A$2:$A$46,"purchase_month",'Model Parameters'!$B$2:$B$46,TEXT(H98,"0"))+SUMIFS('Model Parameters'!$C$2:$C$46,'Model Parameters'!$A$2:$A$46,"purchase_day_of_week",'Model Parameters'!$B$2:$B$46,I98),2))</f>
        <v/>
      </c>
      <c r="K98" s="9">
        <f>IF(B98="","",'Model Parameters'!$G$5*((B98-'Model Parameters'!$G$3)/'Model Parameters'!$G$4))</f>
        <v/>
      </c>
      <c r="L98" s="9">
        <f>IF(B98="","",'Model Parameters'!$G$6*IF(C98="Yes",1,0))</f>
        <v/>
      </c>
      <c r="M98" s="9">
        <f>IF(B98="","",SUMIFS('Model Parameters'!$C$2:$C$46,'Model Parameters'!$A$2:$A$46,"entry_product",'Model Parameters'!$B$2:$B$46,D98))</f>
        <v/>
      </c>
      <c r="N98" s="9">
        <f>IF(B98="","",SUMIFS('Model Parameters'!$C$2:$C$46,'Model Parameters'!$A$2:$A$46,"sales_channel",'Model Parameters'!$B$2:$B$46,E98))</f>
        <v/>
      </c>
      <c r="O98" s="9">
        <f>IF(B98="","",SUMIFS('Model Parameters'!$C$2:$C$46,'Model Parameters'!$A$2:$A$46,"gender",'Model Parameters'!$B$2:$B$46,F98))</f>
        <v/>
      </c>
      <c r="P98" s="9">
        <f>IF(B98="","",SUMIFS('Model Parameters'!$C$2:$C$46,'Model Parameters'!$A$2:$A$46,"education",'Model Parameters'!$B$2:$B$46,G98))</f>
        <v/>
      </c>
      <c r="Q98" s="9">
        <f>IF(B98="","",SUMIFS('Model Parameters'!$C$2:$C$46,'Model Parameters'!$A$2:$A$46,"purchase_month",'Model Parameters'!$B$2:$B$46,TEXT(H98,"0")))</f>
        <v/>
      </c>
      <c r="R98" s="9">
        <f>IF(B98="","",SUMIFS('Model Parameters'!$C$2:$C$46,'Model Parameters'!$A$2:$A$46,"purchase_day_of_week",'Model Parameters'!$B$2:$B$46,I98))</f>
        <v/>
      </c>
      <c r="S98">
        <f>IF(COUNTA(B98:I98)=0,"Waiting for input",IF(COUNTA(B98:I98)&lt;8,"Incomplete","Calculated"))</f>
        <v/>
      </c>
    </row>
    <row r="99">
      <c r="A99" s="7" t="inlineStr">
        <is>
          <t>CUST-091</t>
        </is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9">
        <f>IF(COUNTA(B99:I99)&lt;8,"",ROUND('Model Parameters'!$G$2+'Model Parameters'!$G$5*((B99-'Model Parameters'!$G$3)/'Model Parameters'!$G$4)+'Model Parameters'!$G$6*IF(C99="Yes",1,0)+SUMIFS('Model Parameters'!$C$2:$C$46,'Model Parameters'!$A$2:$A$46,"entry_product",'Model Parameters'!$B$2:$B$46,D99)+SUMIFS('Model Parameters'!$C$2:$C$46,'Model Parameters'!$A$2:$A$46,"sales_channel",'Model Parameters'!$B$2:$B$46,E99)+SUMIFS('Model Parameters'!$C$2:$C$46,'Model Parameters'!$A$2:$A$46,"gender",'Model Parameters'!$B$2:$B$46,F99)+SUMIFS('Model Parameters'!$C$2:$C$46,'Model Parameters'!$A$2:$A$46,"education",'Model Parameters'!$B$2:$B$46,G99)+SUMIFS('Model Parameters'!$C$2:$C$46,'Model Parameters'!$A$2:$A$46,"purchase_month",'Model Parameters'!$B$2:$B$46,TEXT(H99,"0"))+SUMIFS('Model Parameters'!$C$2:$C$46,'Model Parameters'!$A$2:$A$46,"purchase_day_of_week",'Model Parameters'!$B$2:$B$46,I99),2))</f>
        <v/>
      </c>
      <c r="K99" s="9">
        <f>IF(B99="","",'Model Parameters'!$G$5*((B99-'Model Parameters'!$G$3)/'Model Parameters'!$G$4))</f>
        <v/>
      </c>
      <c r="L99" s="9">
        <f>IF(B99="","",'Model Parameters'!$G$6*IF(C99="Yes",1,0))</f>
        <v/>
      </c>
      <c r="M99" s="9">
        <f>IF(B99="","",SUMIFS('Model Parameters'!$C$2:$C$46,'Model Parameters'!$A$2:$A$46,"entry_product",'Model Parameters'!$B$2:$B$46,D99))</f>
        <v/>
      </c>
      <c r="N99" s="9">
        <f>IF(B99="","",SUMIFS('Model Parameters'!$C$2:$C$46,'Model Parameters'!$A$2:$A$46,"sales_channel",'Model Parameters'!$B$2:$B$46,E99))</f>
        <v/>
      </c>
      <c r="O99" s="9">
        <f>IF(B99="","",SUMIFS('Model Parameters'!$C$2:$C$46,'Model Parameters'!$A$2:$A$46,"gender",'Model Parameters'!$B$2:$B$46,F99))</f>
        <v/>
      </c>
      <c r="P99" s="9">
        <f>IF(B99="","",SUMIFS('Model Parameters'!$C$2:$C$46,'Model Parameters'!$A$2:$A$46,"education",'Model Parameters'!$B$2:$B$46,G99))</f>
        <v/>
      </c>
      <c r="Q99" s="9">
        <f>IF(B99="","",SUMIFS('Model Parameters'!$C$2:$C$46,'Model Parameters'!$A$2:$A$46,"purchase_month",'Model Parameters'!$B$2:$B$46,TEXT(H99,"0")))</f>
        <v/>
      </c>
      <c r="R99" s="9">
        <f>IF(B99="","",SUMIFS('Model Parameters'!$C$2:$C$46,'Model Parameters'!$A$2:$A$46,"purchase_day_of_week",'Model Parameters'!$B$2:$B$46,I99))</f>
        <v/>
      </c>
      <c r="S99">
        <f>IF(COUNTA(B99:I99)=0,"Waiting for input",IF(COUNTA(B99:I99)&lt;8,"Incomplete","Calculated"))</f>
        <v/>
      </c>
    </row>
    <row r="100">
      <c r="A100" s="7" t="inlineStr">
        <is>
          <t>CUST-092</t>
        </is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9">
        <f>IF(COUNTA(B100:I100)&lt;8,"",ROUND('Model Parameters'!$G$2+'Model Parameters'!$G$5*((B100-'Model Parameters'!$G$3)/'Model Parameters'!$G$4)+'Model Parameters'!$G$6*IF(C100="Yes",1,0)+SUMIFS('Model Parameters'!$C$2:$C$46,'Model Parameters'!$A$2:$A$46,"entry_product",'Model Parameters'!$B$2:$B$46,D100)+SUMIFS('Model Parameters'!$C$2:$C$46,'Model Parameters'!$A$2:$A$46,"sales_channel",'Model Parameters'!$B$2:$B$46,E100)+SUMIFS('Model Parameters'!$C$2:$C$46,'Model Parameters'!$A$2:$A$46,"gender",'Model Parameters'!$B$2:$B$46,F100)+SUMIFS('Model Parameters'!$C$2:$C$46,'Model Parameters'!$A$2:$A$46,"education",'Model Parameters'!$B$2:$B$46,G100)+SUMIFS('Model Parameters'!$C$2:$C$46,'Model Parameters'!$A$2:$A$46,"purchase_month",'Model Parameters'!$B$2:$B$46,TEXT(H100,"0"))+SUMIFS('Model Parameters'!$C$2:$C$46,'Model Parameters'!$A$2:$A$46,"purchase_day_of_week",'Model Parameters'!$B$2:$B$46,I100),2))</f>
        <v/>
      </c>
      <c r="K100" s="9">
        <f>IF(B100="","",'Model Parameters'!$G$5*((B100-'Model Parameters'!$G$3)/'Model Parameters'!$G$4))</f>
        <v/>
      </c>
      <c r="L100" s="9">
        <f>IF(B100="","",'Model Parameters'!$G$6*IF(C100="Yes",1,0))</f>
        <v/>
      </c>
      <c r="M100" s="9">
        <f>IF(B100="","",SUMIFS('Model Parameters'!$C$2:$C$46,'Model Parameters'!$A$2:$A$46,"entry_product",'Model Parameters'!$B$2:$B$46,D100))</f>
        <v/>
      </c>
      <c r="N100" s="9">
        <f>IF(B100="","",SUMIFS('Model Parameters'!$C$2:$C$46,'Model Parameters'!$A$2:$A$46,"sales_channel",'Model Parameters'!$B$2:$B$46,E100))</f>
        <v/>
      </c>
      <c r="O100" s="9">
        <f>IF(B100="","",SUMIFS('Model Parameters'!$C$2:$C$46,'Model Parameters'!$A$2:$A$46,"gender",'Model Parameters'!$B$2:$B$46,F100))</f>
        <v/>
      </c>
      <c r="P100" s="9">
        <f>IF(B100="","",SUMIFS('Model Parameters'!$C$2:$C$46,'Model Parameters'!$A$2:$A$46,"education",'Model Parameters'!$B$2:$B$46,G100))</f>
        <v/>
      </c>
      <c r="Q100" s="9">
        <f>IF(B100="","",SUMIFS('Model Parameters'!$C$2:$C$46,'Model Parameters'!$A$2:$A$46,"purchase_month",'Model Parameters'!$B$2:$B$46,TEXT(H100,"0")))</f>
        <v/>
      </c>
      <c r="R100" s="9">
        <f>IF(B100="","",SUMIFS('Model Parameters'!$C$2:$C$46,'Model Parameters'!$A$2:$A$46,"purchase_day_of_week",'Model Parameters'!$B$2:$B$46,I100))</f>
        <v/>
      </c>
      <c r="S100">
        <f>IF(COUNTA(B100:I100)=0,"Waiting for input",IF(COUNTA(B100:I100)&lt;8,"Incomplete","Calculated"))</f>
        <v/>
      </c>
    </row>
    <row r="101">
      <c r="A101" s="7" t="inlineStr">
        <is>
          <t>CUST-093</t>
        </is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9">
        <f>IF(COUNTA(B101:I101)&lt;8,"",ROUND('Model Parameters'!$G$2+'Model Parameters'!$G$5*((B101-'Model Parameters'!$G$3)/'Model Parameters'!$G$4)+'Model Parameters'!$G$6*IF(C101="Yes",1,0)+SUMIFS('Model Parameters'!$C$2:$C$46,'Model Parameters'!$A$2:$A$46,"entry_product",'Model Parameters'!$B$2:$B$46,D101)+SUMIFS('Model Parameters'!$C$2:$C$46,'Model Parameters'!$A$2:$A$46,"sales_channel",'Model Parameters'!$B$2:$B$46,E101)+SUMIFS('Model Parameters'!$C$2:$C$46,'Model Parameters'!$A$2:$A$46,"gender",'Model Parameters'!$B$2:$B$46,F101)+SUMIFS('Model Parameters'!$C$2:$C$46,'Model Parameters'!$A$2:$A$46,"education",'Model Parameters'!$B$2:$B$46,G101)+SUMIFS('Model Parameters'!$C$2:$C$46,'Model Parameters'!$A$2:$A$46,"purchase_month",'Model Parameters'!$B$2:$B$46,TEXT(H101,"0"))+SUMIFS('Model Parameters'!$C$2:$C$46,'Model Parameters'!$A$2:$A$46,"purchase_day_of_week",'Model Parameters'!$B$2:$B$46,I101),2))</f>
        <v/>
      </c>
      <c r="K101" s="9">
        <f>IF(B101="","",'Model Parameters'!$G$5*((B101-'Model Parameters'!$G$3)/'Model Parameters'!$G$4))</f>
        <v/>
      </c>
      <c r="L101" s="9">
        <f>IF(B101="","",'Model Parameters'!$G$6*IF(C101="Yes",1,0))</f>
        <v/>
      </c>
      <c r="M101" s="9">
        <f>IF(B101="","",SUMIFS('Model Parameters'!$C$2:$C$46,'Model Parameters'!$A$2:$A$46,"entry_product",'Model Parameters'!$B$2:$B$46,D101))</f>
        <v/>
      </c>
      <c r="N101" s="9">
        <f>IF(B101="","",SUMIFS('Model Parameters'!$C$2:$C$46,'Model Parameters'!$A$2:$A$46,"sales_channel",'Model Parameters'!$B$2:$B$46,E101))</f>
        <v/>
      </c>
      <c r="O101" s="9">
        <f>IF(B101="","",SUMIFS('Model Parameters'!$C$2:$C$46,'Model Parameters'!$A$2:$A$46,"gender",'Model Parameters'!$B$2:$B$46,F101))</f>
        <v/>
      </c>
      <c r="P101" s="9">
        <f>IF(B101="","",SUMIFS('Model Parameters'!$C$2:$C$46,'Model Parameters'!$A$2:$A$46,"education",'Model Parameters'!$B$2:$B$46,G101))</f>
        <v/>
      </c>
      <c r="Q101" s="9">
        <f>IF(B101="","",SUMIFS('Model Parameters'!$C$2:$C$46,'Model Parameters'!$A$2:$A$46,"purchase_month",'Model Parameters'!$B$2:$B$46,TEXT(H101,"0")))</f>
        <v/>
      </c>
      <c r="R101" s="9">
        <f>IF(B101="","",SUMIFS('Model Parameters'!$C$2:$C$46,'Model Parameters'!$A$2:$A$46,"purchase_day_of_week",'Model Parameters'!$B$2:$B$46,I101))</f>
        <v/>
      </c>
      <c r="S101">
        <f>IF(COUNTA(B101:I101)=0,"Waiting for input",IF(COUNTA(B101:I101)&lt;8,"Incomplete","Calculated"))</f>
        <v/>
      </c>
    </row>
    <row r="102">
      <c r="A102" s="7" t="inlineStr">
        <is>
          <t>CUST-094</t>
        </is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9">
        <f>IF(COUNTA(B102:I102)&lt;8,"",ROUND('Model Parameters'!$G$2+'Model Parameters'!$G$5*((B102-'Model Parameters'!$G$3)/'Model Parameters'!$G$4)+'Model Parameters'!$G$6*IF(C102="Yes",1,0)+SUMIFS('Model Parameters'!$C$2:$C$46,'Model Parameters'!$A$2:$A$46,"entry_product",'Model Parameters'!$B$2:$B$46,D102)+SUMIFS('Model Parameters'!$C$2:$C$46,'Model Parameters'!$A$2:$A$46,"sales_channel",'Model Parameters'!$B$2:$B$46,E102)+SUMIFS('Model Parameters'!$C$2:$C$46,'Model Parameters'!$A$2:$A$46,"gender",'Model Parameters'!$B$2:$B$46,F102)+SUMIFS('Model Parameters'!$C$2:$C$46,'Model Parameters'!$A$2:$A$46,"education",'Model Parameters'!$B$2:$B$46,G102)+SUMIFS('Model Parameters'!$C$2:$C$46,'Model Parameters'!$A$2:$A$46,"purchase_month",'Model Parameters'!$B$2:$B$46,TEXT(H102,"0"))+SUMIFS('Model Parameters'!$C$2:$C$46,'Model Parameters'!$A$2:$A$46,"purchase_day_of_week",'Model Parameters'!$B$2:$B$46,I102),2))</f>
        <v/>
      </c>
      <c r="K102" s="9">
        <f>IF(B102="","",'Model Parameters'!$G$5*((B102-'Model Parameters'!$G$3)/'Model Parameters'!$G$4))</f>
        <v/>
      </c>
      <c r="L102" s="9">
        <f>IF(B102="","",'Model Parameters'!$G$6*IF(C102="Yes",1,0))</f>
        <v/>
      </c>
      <c r="M102" s="9">
        <f>IF(B102="","",SUMIFS('Model Parameters'!$C$2:$C$46,'Model Parameters'!$A$2:$A$46,"entry_product",'Model Parameters'!$B$2:$B$46,D102))</f>
        <v/>
      </c>
      <c r="N102" s="9">
        <f>IF(B102="","",SUMIFS('Model Parameters'!$C$2:$C$46,'Model Parameters'!$A$2:$A$46,"sales_channel",'Model Parameters'!$B$2:$B$46,E102))</f>
        <v/>
      </c>
      <c r="O102" s="9">
        <f>IF(B102="","",SUMIFS('Model Parameters'!$C$2:$C$46,'Model Parameters'!$A$2:$A$46,"gender",'Model Parameters'!$B$2:$B$46,F102))</f>
        <v/>
      </c>
      <c r="P102" s="9">
        <f>IF(B102="","",SUMIFS('Model Parameters'!$C$2:$C$46,'Model Parameters'!$A$2:$A$46,"education",'Model Parameters'!$B$2:$B$46,G102))</f>
        <v/>
      </c>
      <c r="Q102" s="9">
        <f>IF(B102="","",SUMIFS('Model Parameters'!$C$2:$C$46,'Model Parameters'!$A$2:$A$46,"purchase_month",'Model Parameters'!$B$2:$B$46,TEXT(H102,"0")))</f>
        <v/>
      </c>
      <c r="R102" s="9">
        <f>IF(B102="","",SUMIFS('Model Parameters'!$C$2:$C$46,'Model Parameters'!$A$2:$A$46,"purchase_day_of_week",'Model Parameters'!$B$2:$B$46,I102))</f>
        <v/>
      </c>
      <c r="S102">
        <f>IF(COUNTA(B102:I102)=0,"Waiting for input",IF(COUNTA(B102:I102)&lt;8,"Incomplete","Calculated"))</f>
        <v/>
      </c>
    </row>
    <row r="103">
      <c r="A103" s="7" t="inlineStr">
        <is>
          <t>CUST-095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9">
        <f>IF(COUNTA(B103:I103)&lt;8,"",ROUND('Model Parameters'!$G$2+'Model Parameters'!$G$5*((B103-'Model Parameters'!$G$3)/'Model Parameters'!$G$4)+'Model Parameters'!$G$6*IF(C103="Yes",1,0)+SUMIFS('Model Parameters'!$C$2:$C$46,'Model Parameters'!$A$2:$A$46,"entry_product",'Model Parameters'!$B$2:$B$46,D103)+SUMIFS('Model Parameters'!$C$2:$C$46,'Model Parameters'!$A$2:$A$46,"sales_channel",'Model Parameters'!$B$2:$B$46,E103)+SUMIFS('Model Parameters'!$C$2:$C$46,'Model Parameters'!$A$2:$A$46,"gender",'Model Parameters'!$B$2:$B$46,F103)+SUMIFS('Model Parameters'!$C$2:$C$46,'Model Parameters'!$A$2:$A$46,"education",'Model Parameters'!$B$2:$B$46,G103)+SUMIFS('Model Parameters'!$C$2:$C$46,'Model Parameters'!$A$2:$A$46,"purchase_month",'Model Parameters'!$B$2:$B$46,TEXT(H103,"0"))+SUMIFS('Model Parameters'!$C$2:$C$46,'Model Parameters'!$A$2:$A$46,"purchase_day_of_week",'Model Parameters'!$B$2:$B$46,I103),2))</f>
        <v/>
      </c>
      <c r="K103" s="9">
        <f>IF(B103="","",'Model Parameters'!$G$5*((B103-'Model Parameters'!$G$3)/'Model Parameters'!$G$4))</f>
        <v/>
      </c>
      <c r="L103" s="9">
        <f>IF(B103="","",'Model Parameters'!$G$6*IF(C103="Yes",1,0))</f>
        <v/>
      </c>
      <c r="M103" s="9">
        <f>IF(B103="","",SUMIFS('Model Parameters'!$C$2:$C$46,'Model Parameters'!$A$2:$A$46,"entry_product",'Model Parameters'!$B$2:$B$46,D103))</f>
        <v/>
      </c>
      <c r="N103" s="9">
        <f>IF(B103="","",SUMIFS('Model Parameters'!$C$2:$C$46,'Model Parameters'!$A$2:$A$46,"sales_channel",'Model Parameters'!$B$2:$B$46,E103))</f>
        <v/>
      </c>
      <c r="O103" s="9">
        <f>IF(B103="","",SUMIFS('Model Parameters'!$C$2:$C$46,'Model Parameters'!$A$2:$A$46,"gender",'Model Parameters'!$B$2:$B$46,F103))</f>
        <v/>
      </c>
      <c r="P103" s="9">
        <f>IF(B103="","",SUMIFS('Model Parameters'!$C$2:$C$46,'Model Parameters'!$A$2:$A$46,"education",'Model Parameters'!$B$2:$B$46,G103))</f>
        <v/>
      </c>
      <c r="Q103" s="9">
        <f>IF(B103="","",SUMIFS('Model Parameters'!$C$2:$C$46,'Model Parameters'!$A$2:$A$46,"purchase_month",'Model Parameters'!$B$2:$B$46,TEXT(H103,"0")))</f>
        <v/>
      </c>
      <c r="R103" s="9">
        <f>IF(B103="","",SUMIFS('Model Parameters'!$C$2:$C$46,'Model Parameters'!$A$2:$A$46,"purchase_day_of_week",'Model Parameters'!$B$2:$B$46,I103))</f>
        <v/>
      </c>
      <c r="S103">
        <f>IF(COUNTA(B103:I103)=0,"Waiting for input",IF(COUNTA(B103:I103)&lt;8,"Incomplete","Calculated"))</f>
        <v/>
      </c>
    </row>
    <row r="104">
      <c r="A104" s="7" t="inlineStr">
        <is>
          <t>CUST-096</t>
        </is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9">
        <f>IF(COUNTA(B104:I104)&lt;8,"",ROUND('Model Parameters'!$G$2+'Model Parameters'!$G$5*((B104-'Model Parameters'!$G$3)/'Model Parameters'!$G$4)+'Model Parameters'!$G$6*IF(C104="Yes",1,0)+SUMIFS('Model Parameters'!$C$2:$C$46,'Model Parameters'!$A$2:$A$46,"entry_product",'Model Parameters'!$B$2:$B$46,D104)+SUMIFS('Model Parameters'!$C$2:$C$46,'Model Parameters'!$A$2:$A$46,"sales_channel",'Model Parameters'!$B$2:$B$46,E104)+SUMIFS('Model Parameters'!$C$2:$C$46,'Model Parameters'!$A$2:$A$46,"gender",'Model Parameters'!$B$2:$B$46,F104)+SUMIFS('Model Parameters'!$C$2:$C$46,'Model Parameters'!$A$2:$A$46,"education",'Model Parameters'!$B$2:$B$46,G104)+SUMIFS('Model Parameters'!$C$2:$C$46,'Model Parameters'!$A$2:$A$46,"purchase_month",'Model Parameters'!$B$2:$B$46,TEXT(H104,"0"))+SUMIFS('Model Parameters'!$C$2:$C$46,'Model Parameters'!$A$2:$A$46,"purchase_day_of_week",'Model Parameters'!$B$2:$B$46,I104),2))</f>
        <v/>
      </c>
      <c r="K104" s="9">
        <f>IF(B104="","",'Model Parameters'!$G$5*((B104-'Model Parameters'!$G$3)/'Model Parameters'!$G$4))</f>
        <v/>
      </c>
      <c r="L104" s="9">
        <f>IF(B104="","",'Model Parameters'!$G$6*IF(C104="Yes",1,0))</f>
        <v/>
      </c>
      <c r="M104" s="9">
        <f>IF(B104="","",SUMIFS('Model Parameters'!$C$2:$C$46,'Model Parameters'!$A$2:$A$46,"entry_product",'Model Parameters'!$B$2:$B$46,D104))</f>
        <v/>
      </c>
      <c r="N104" s="9">
        <f>IF(B104="","",SUMIFS('Model Parameters'!$C$2:$C$46,'Model Parameters'!$A$2:$A$46,"sales_channel",'Model Parameters'!$B$2:$B$46,E104))</f>
        <v/>
      </c>
      <c r="O104" s="9">
        <f>IF(B104="","",SUMIFS('Model Parameters'!$C$2:$C$46,'Model Parameters'!$A$2:$A$46,"gender",'Model Parameters'!$B$2:$B$46,F104))</f>
        <v/>
      </c>
      <c r="P104" s="9">
        <f>IF(B104="","",SUMIFS('Model Parameters'!$C$2:$C$46,'Model Parameters'!$A$2:$A$46,"education",'Model Parameters'!$B$2:$B$46,G104))</f>
        <v/>
      </c>
      <c r="Q104" s="9">
        <f>IF(B104="","",SUMIFS('Model Parameters'!$C$2:$C$46,'Model Parameters'!$A$2:$A$46,"purchase_month",'Model Parameters'!$B$2:$B$46,TEXT(H104,"0")))</f>
        <v/>
      </c>
      <c r="R104" s="9">
        <f>IF(B104="","",SUMIFS('Model Parameters'!$C$2:$C$46,'Model Parameters'!$A$2:$A$46,"purchase_day_of_week",'Model Parameters'!$B$2:$B$46,I104))</f>
        <v/>
      </c>
      <c r="S104">
        <f>IF(COUNTA(B104:I104)=0,"Waiting for input",IF(COUNTA(B104:I104)&lt;8,"Incomplete","Calculated"))</f>
        <v/>
      </c>
    </row>
    <row r="105">
      <c r="A105" s="7" t="inlineStr">
        <is>
          <t>CUST-097</t>
        </is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9">
        <f>IF(COUNTA(B105:I105)&lt;8,"",ROUND('Model Parameters'!$G$2+'Model Parameters'!$G$5*((B105-'Model Parameters'!$G$3)/'Model Parameters'!$G$4)+'Model Parameters'!$G$6*IF(C105="Yes",1,0)+SUMIFS('Model Parameters'!$C$2:$C$46,'Model Parameters'!$A$2:$A$46,"entry_product",'Model Parameters'!$B$2:$B$46,D105)+SUMIFS('Model Parameters'!$C$2:$C$46,'Model Parameters'!$A$2:$A$46,"sales_channel",'Model Parameters'!$B$2:$B$46,E105)+SUMIFS('Model Parameters'!$C$2:$C$46,'Model Parameters'!$A$2:$A$46,"gender",'Model Parameters'!$B$2:$B$46,F105)+SUMIFS('Model Parameters'!$C$2:$C$46,'Model Parameters'!$A$2:$A$46,"education",'Model Parameters'!$B$2:$B$46,G105)+SUMIFS('Model Parameters'!$C$2:$C$46,'Model Parameters'!$A$2:$A$46,"purchase_month",'Model Parameters'!$B$2:$B$46,TEXT(H105,"0"))+SUMIFS('Model Parameters'!$C$2:$C$46,'Model Parameters'!$A$2:$A$46,"purchase_day_of_week",'Model Parameters'!$B$2:$B$46,I105),2))</f>
        <v/>
      </c>
      <c r="K105" s="9">
        <f>IF(B105="","",'Model Parameters'!$G$5*((B105-'Model Parameters'!$G$3)/'Model Parameters'!$G$4))</f>
        <v/>
      </c>
      <c r="L105" s="9">
        <f>IF(B105="","",'Model Parameters'!$G$6*IF(C105="Yes",1,0))</f>
        <v/>
      </c>
      <c r="M105" s="9">
        <f>IF(B105="","",SUMIFS('Model Parameters'!$C$2:$C$46,'Model Parameters'!$A$2:$A$46,"entry_product",'Model Parameters'!$B$2:$B$46,D105))</f>
        <v/>
      </c>
      <c r="N105" s="9">
        <f>IF(B105="","",SUMIFS('Model Parameters'!$C$2:$C$46,'Model Parameters'!$A$2:$A$46,"sales_channel",'Model Parameters'!$B$2:$B$46,E105))</f>
        <v/>
      </c>
      <c r="O105" s="9">
        <f>IF(B105="","",SUMIFS('Model Parameters'!$C$2:$C$46,'Model Parameters'!$A$2:$A$46,"gender",'Model Parameters'!$B$2:$B$46,F105))</f>
        <v/>
      </c>
      <c r="P105" s="9">
        <f>IF(B105="","",SUMIFS('Model Parameters'!$C$2:$C$46,'Model Parameters'!$A$2:$A$46,"education",'Model Parameters'!$B$2:$B$46,G105))</f>
        <v/>
      </c>
      <c r="Q105" s="9">
        <f>IF(B105="","",SUMIFS('Model Parameters'!$C$2:$C$46,'Model Parameters'!$A$2:$A$46,"purchase_month",'Model Parameters'!$B$2:$B$46,TEXT(H105,"0")))</f>
        <v/>
      </c>
      <c r="R105" s="9">
        <f>IF(B105="","",SUMIFS('Model Parameters'!$C$2:$C$46,'Model Parameters'!$A$2:$A$46,"purchase_day_of_week",'Model Parameters'!$B$2:$B$46,I105))</f>
        <v/>
      </c>
      <c r="S105">
        <f>IF(COUNTA(B105:I105)=0,"Waiting for input",IF(COUNTA(B105:I105)&lt;8,"Incomplete","Calculated"))</f>
        <v/>
      </c>
    </row>
    <row r="106">
      <c r="A106" s="7" t="inlineStr">
        <is>
          <t>CUST-098</t>
        </is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9">
        <f>IF(COUNTA(B106:I106)&lt;8,"",ROUND('Model Parameters'!$G$2+'Model Parameters'!$G$5*((B106-'Model Parameters'!$G$3)/'Model Parameters'!$G$4)+'Model Parameters'!$G$6*IF(C106="Yes",1,0)+SUMIFS('Model Parameters'!$C$2:$C$46,'Model Parameters'!$A$2:$A$46,"entry_product",'Model Parameters'!$B$2:$B$46,D106)+SUMIFS('Model Parameters'!$C$2:$C$46,'Model Parameters'!$A$2:$A$46,"sales_channel",'Model Parameters'!$B$2:$B$46,E106)+SUMIFS('Model Parameters'!$C$2:$C$46,'Model Parameters'!$A$2:$A$46,"gender",'Model Parameters'!$B$2:$B$46,F106)+SUMIFS('Model Parameters'!$C$2:$C$46,'Model Parameters'!$A$2:$A$46,"education",'Model Parameters'!$B$2:$B$46,G106)+SUMIFS('Model Parameters'!$C$2:$C$46,'Model Parameters'!$A$2:$A$46,"purchase_month",'Model Parameters'!$B$2:$B$46,TEXT(H106,"0"))+SUMIFS('Model Parameters'!$C$2:$C$46,'Model Parameters'!$A$2:$A$46,"purchase_day_of_week",'Model Parameters'!$B$2:$B$46,I106),2))</f>
        <v/>
      </c>
      <c r="K106" s="9">
        <f>IF(B106="","",'Model Parameters'!$G$5*((B106-'Model Parameters'!$G$3)/'Model Parameters'!$G$4))</f>
        <v/>
      </c>
      <c r="L106" s="9">
        <f>IF(B106="","",'Model Parameters'!$G$6*IF(C106="Yes",1,0))</f>
        <v/>
      </c>
      <c r="M106" s="9">
        <f>IF(B106="","",SUMIFS('Model Parameters'!$C$2:$C$46,'Model Parameters'!$A$2:$A$46,"entry_product",'Model Parameters'!$B$2:$B$46,D106))</f>
        <v/>
      </c>
      <c r="N106" s="9">
        <f>IF(B106="","",SUMIFS('Model Parameters'!$C$2:$C$46,'Model Parameters'!$A$2:$A$46,"sales_channel",'Model Parameters'!$B$2:$B$46,E106))</f>
        <v/>
      </c>
      <c r="O106" s="9">
        <f>IF(B106="","",SUMIFS('Model Parameters'!$C$2:$C$46,'Model Parameters'!$A$2:$A$46,"gender",'Model Parameters'!$B$2:$B$46,F106))</f>
        <v/>
      </c>
      <c r="P106" s="9">
        <f>IF(B106="","",SUMIFS('Model Parameters'!$C$2:$C$46,'Model Parameters'!$A$2:$A$46,"education",'Model Parameters'!$B$2:$B$46,G106))</f>
        <v/>
      </c>
      <c r="Q106" s="9">
        <f>IF(B106="","",SUMIFS('Model Parameters'!$C$2:$C$46,'Model Parameters'!$A$2:$A$46,"purchase_month",'Model Parameters'!$B$2:$B$46,TEXT(H106,"0")))</f>
        <v/>
      </c>
      <c r="R106" s="9">
        <f>IF(B106="","",SUMIFS('Model Parameters'!$C$2:$C$46,'Model Parameters'!$A$2:$A$46,"purchase_day_of_week",'Model Parameters'!$B$2:$B$46,I106))</f>
        <v/>
      </c>
      <c r="S106">
        <f>IF(COUNTA(B106:I106)=0,"Waiting for input",IF(COUNTA(B106:I106)&lt;8,"Incomplete","Calculated"))</f>
        <v/>
      </c>
    </row>
    <row r="107">
      <c r="A107" s="7" t="inlineStr">
        <is>
          <t>CUST-099</t>
        </is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9">
        <f>IF(COUNTA(B107:I107)&lt;8,"",ROUND('Model Parameters'!$G$2+'Model Parameters'!$G$5*((B107-'Model Parameters'!$G$3)/'Model Parameters'!$G$4)+'Model Parameters'!$G$6*IF(C107="Yes",1,0)+SUMIFS('Model Parameters'!$C$2:$C$46,'Model Parameters'!$A$2:$A$46,"entry_product",'Model Parameters'!$B$2:$B$46,D107)+SUMIFS('Model Parameters'!$C$2:$C$46,'Model Parameters'!$A$2:$A$46,"sales_channel",'Model Parameters'!$B$2:$B$46,E107)+SUMIFS('Model Parameters'!$C$2:$C$46,'Model Parameters'!$A$2:$A$46,"gender",'Model Parameters'!$B$2:$B$46,F107)+SUMIFS('Model Parameters'!$C$2:$C$46,'Model Parameters'!$A$2:$A$46,"education",'Model Parameters'!$B$2:$B$46,G107)+SUMIFS('Model Parameters'!$C$2:$C$46,'Model Parameters'!$A$2:$A$46,"purchase_month",'Model Parameters'!$B$2:$B$46,TEXT(H107,"0"))+SUMIFS('Model Parameters'!$C$2:$C$46,'Model Parameters'!$A$2:$A$46,"purchase_day_of_week",'Model Parameters'!$B$2:$B$46,I107),2))</f>
        <v/>
      </c>
      <c r="K107" s="9">
        <f>IF(B107="","",'Model Parameters'!$G$5*((B107-'Model Parameters'!$G$3)/'Model Parameters'!$G$4))</f>
        <v/>
      </c>
      <c r="L107" s="9">
        <f>IF(B107="","",'Model Parameters'!$G$6*IF(C107="Yes",1,0))</f>
        <v/>
      </c>
      <c r="M107" s="9">
        <f>IF(B107="","",SUMIFS('Model Parameters'!$C$2:$C$46,'Model Parameters'!$A$2:$A$46,"entry_product",'Model Parameters'!$B$2:$B$46,D107))</f>
        <v/>
      </c>
      <c r="N107" s="9">
        <f>IF(B107="","",SUMIFS('Model Parameters'!$C$2:$C$46,'Model Parameters'!$A$2:$A$46,"sales_channel",'Model Parameters'!$B$2:$B$46,E107))</f>
        <v/>
      </c>
      <c r="O107" s="9">
        <f>IF(B107="","",SUMIFS('Model Parameters'!$C$2:$C$46,'Model Parameters'!$A$2:$A$46,"gender",'Model Parameters'!$B$2:$B$46,F107))</f>
        <v/>
      </c>
      <c r="P107" s="9">
        <f>IF(B107="","",SUMIFS('Model Parameters'!$C$2:$C$46,'Model Parameters'!$A$2:$A$46,"education",'Model Parameters'!$B$2:$B$46,G107))</f>
        <v/>
      </c>
      <c r="Q107" s="9">
        <f>IF(B107="","",SUMIFS('Model Parameters'!$C$2:$C$46,'Model Parameters'!$A$2:$A$46,"purchase_month",'Model Parameters'!$B$2:$B$46,TEXT(H107,"0")))</f>
        <v/>
      </c>
      <c r="R107" s="9">
        <f>IF(B107="","",SUMIFS('Model Parameters'!$C$2:$C$46,'Model Parameters'!$A$2:$A$46,"purchase_day_of_week",'Model Parameters'!$B$2:$B$46,I107))</f>
        <v/>
      </c>
      <c r="S107">
        <f>IF(COUNTA(B107:I107)=0,"Waiting for input",IF(COUNTA(B107:I107)&lt;8,"Incomplete","Calculated"))</f>
        <v/>
      </c>
    </row>
    <row r="108">
      <c r="A108" s="7" t="inlineStr">
        <is>
          <t>CUST-100</t>
        </is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9">
        <f>IF(COUNTA(B108:I108)&lt;8,"",ROUND('Model Parameters'!$G$2+'Model Parameters'!$G$5*((B108-'Model Parameters'!$G$3)/'Model Parameters'!$G$4)+'Model Parameters'!$G$6*IF(C108="Yes",1,0)+SUMIFS('Model Parameters'!$C$2:$C$46,'Model Parameters'!$A$2:$A$46,"entry_product",'Model Parameters'!$B$2:$B$46,D108)+SUMIFS('Model Parameters'!$C$2:$C$46,'Model Parameters'!$A$2:$A$46,"sales_channel",'Model Parameters'!$B$2:$B$46,E108)+SUMIFS('Model Parameters'!$C$2:$C$46,'Model Parameters'!$A$2:$A$46,"gender",'Model Parameters'!$B$2:$B$46,F108)+SUMIFS('Model Parameters'!$C$2:$C$46,'Model Parameters'!$A$2:$A$46,"education",'Model Parameters'!$B$2:$B$46,G108)+SUMIFS('Model Parameters'!$C$2:$C$46,'Model Parameters'!$A$2:$A$46,"purchase_month",'Model Parameters'!$B$2:$B$46,TEXT(H108,"0"))+SUMIFS('Model Parameters'!$C$2:$C$46,'Model Parameters'!$A$2:$A$46,"purchase_day_of_week",'Model Parameters'!$B$2:$B$46,I108),2))</f>
        <v/>
      </c>
      <c r="K108" s="9">
        <f>IF(B108="","",'Model Parameters'!$G$5*((B108-'Model Parameters'!$G$3)/'Model Parameters'!$G$4))</f>
        <v/>
      </c>
      <c r="L108" s="9">
        <f>IF(B108="","",'Model Parameters'!$G$6*IF(C108="Yes",1,0))</f>
        <v/>
      </c>
      <c r="M108" s="9">
        <f>IF(B108="","",SUMIFS('Model Parameters'!$C$2:$C$46,'Model Parameters'!$A$2:$A$46,"entry_product",'Model Parameters'!$B$2:$B$46,D108))</f>
        <v/>
      </c>
      <c r="N108" s="9">
        <f>IF(B108="","",SUMIFS('Model Parameters'!$C$2:$C$46,'Model Parameters'!$A$2:$A$46,"sales_channel",'Model Parameters'!$B$2:$B$46,E108))</f>
        <v/>
      </c>
      <c r="O108" s="9">
        <f>IF(B108="","",SUMIFS('Model Parameters'!$C$2:$C$46,'Model Parameters'!$A$2:$A$46,"gender",'Model Parameters'!$B$2:$B$46,F108))</f>
        <v/>
      </c>
      <c r="P108" s="9">
        <f>IF(B108="","",SUMIFS('Model Parameters'!$C$2:$C$46,'Model Parameters'!$A$2:$A$46,"education",'Model Parameters'!$B$2:$B$46,G108))</f>
        <v/>
      </c>
      <c r="Q108" s="9">
        <f>IF(B108="","",SUMIFS('Model Parameters'!$C$2:$C$46,'Model Parameters'!$A$2:$A$46,"purchase_month",'Model Parameters'!$B$2:$B$46,TEXT(H108,"0")))</f>
        <v/>
      </c>
      <c r="R108" s="9">
        <f>IF(B108="","",SUMIFS('Model Parameters'!$C$2:$C$46,'Model Parameters'!$A$2:$A$46,"purchase_day_of_week",'Model Parameters'!$B$2:$B$46,I108))</f>
        <v/>
      </c>
      <c r="S108">
        <f>IF(COUNTA(B108:I108)=0,"Waiting for input",IF(COUNTA(B108:I108)&lt;8,"Incomplete","Calculated"))</f>
        <v/>
      </c>
    </row>
  </sheetData>
  <autoFilter ref="A8:S108"/>
  <mergeCells count="2">
    <mergeCell ref="A1:S2"/>
    <mergeCell ref="A3:S3"/>
  </mergeCells>
  <conditionalFormatting sqref="K9:R10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S9:S108">
    <cfRule type="expression" priority="3" dxfId="0">
      <formula>S9="Calculated"</formula>
    </cfRule>
  </conditionalFormatting>
  <dataValidations count="7">
    <dataValidation sqref="C9:C108" showDropDown="0" showInputMessage="0" showErrorMessage="0" allowBlank="0" type="list">
      <formula1>"No,Yes"</formula1>
    </dataValidation>
    <dataValidation sqref="D9:D108" showDropDown="0" showInputMessage="0" showErrorMessage="0" allowBlank="0" type="list">
      <formula1>"Commercial,Community,Data Analysis,Data Science,Excel,Full Stack JavaScript,Lifetime Access,Other,Power BI,Python"</formula1>
    </dataValidation>
    <dataValidation sqref="E9:E108" showDropDown="0" showInputMessage="0" showErrorMessage="0" allowBlank="0" type="list">
      <formula1>"Checkout,Commercial,Direct Traffic,Launch,Other,Waitlist,Webinar"</formula1>
    </dataValidation>
    <dataValidation sqref="F9:F108" showDropDown="0" showInputMessage="0" showErrorMessage="0" allowBlank="0" type="list">
      <formula1>"Female,Male,Other"</formula1>
    </dataValidation>
    <dataValidation sqref="G9:G108" showDropDown="0" showInputMessage="0" showErrorMessage="0" allowBlank="0" type="list">
      <formula1>"Basic Education,High School,Higher Education - Complete,Higher Education - Incomplete,Higher Education+,Not Reported"</formula1>
    </dataValidation>
    <dataValidation sqref="H9:H108" showDropDown="0" showInputMessage="0" showErrorMessage="0" allowBlank="0" type="list">
      <formula1>"1,2,3,4,5,6,7,8,9,10,11,12"</formula1>
    </dataValidation>
    <dataValidation sqref="I9:I108" showDropDown="0" showInputMessage="0" showErrorMessage="0" allowBlank="0" type="list">
      <formula1>"Friday,Monday,Saturday,Sunday,Thursday,Tuesday,Wednesday"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8" customWidth="1" min="3" max="3"/>
    <col width="22" customWidth="1" min="4" max="4"/>
    <col width="4" customWidth="1" min="5" max="5"/>
    <col width="32" customWidth="1" min="6" max="6"/>
    <col width="20" customWidth="1" min="7" max="7"/>
  </cols>
  <sheetData>
    <row r="1">
      <c r="A1" s="10" t="inlineStr">
        <is>
          <t>Feature</t>
        </is>
      </c>
      <c r="B1" s="10" t="inlineStr">
        <is>
          <t>Category</t>
        </is>
      </c>
      <c r="C1" s="10" t="inlineStr">
        <is>
          <t>Coefficient</t>
        </is>
      </c>
      <c r="D1" s="10" t="inlineStr">
        <is>
          <t>Note</t>
        </is>
      </c>
      <c r="E1" s="10" t="inlineStr"/>
      <c r="F1" s="10" t="inlineStr">
        <is>
          <t>Parameter</t>
        </is>
      </c>
      <c r="G1" s="10" t="inlineStr">
        <is>
          <t>Value</t>
        </is>
      </c>
    </row>
    <row r="2">
      <c r="A2" t="inlineStr">
        <is>
          <t>entry_product</t>
        </is>
      </c>
      <c r="B2" t="inlineStr">
        <is>
          <t>Commercial</t>
        </is>
      </c>
      <c r="C2" t="n">
        <v>0</v>
      </c>
      <c r="D2" t="inlineStr">
        <is>
          <t>Reference category</t>
        </is>
      </c>
      <c r="F2" t="inlineStr">
        <is>
          <t>Intercept</t>
        </is>
      </c>
      <c r="G2" t="n">
        <v>2747.886065483573</v>
      </c>
    </row>
    <row r="3">
      <c r="A3" t="inlineStr">
        <is>
          <t>entry_product</t>
        </is>
      </c>
      <c r="B3" t="inlineStr">
        <is>
          <t>Community</t>
        </is>
      </c>
      <c r="C3" t="n">
        <v>-306.1393449917081</v>
      </c>
      <c r="D3" t="inlineStr"/>
      <c r="F3" t="inlineStr">
        <is>
          <t>Mean - first_purchase_value</t>
        </is>
      </c>
      <c r="G3" t="n">
        <v>715.1107747634687</v>
      </c>
    </row>
    <row r="4">
      <c r="A4" t="inlineStr">
        <is>
          <t>entry_product</t>
        </is>
      </c>
      <c r="B4" t="inlineStr">
        <is>
          <t>Data Analysis</t>
        </is>
      </c>
      <c r="C4" t="n">
        <v>-155.9120117547081</v>
      </c>
      <c r="D4" t="inlineStr"/>
      <c r="F4" t="inlineStr">
        <is>
          <t>Scale - first_purchase_value</t>
        </is>
      </c>
      <c r="G4" t="n">
        <v>665.9064613725793</v>
      </c>
    </row>
    <row r="5">
      <c r="A5" t="inlineStr">
        <is>
          <t>entry_product</t>
        </is>
      </c>
      <c r="B5" t="inlineStr">
        <is>
          <t>Data Science</t>
        </is>
      </c>
      <c r="C5" t="n">
        <v>91.26021762208455</v>
      </c>
      <c r="D5" t="inlineStr"/>
      <c r="F5" t="inlineStr">
        <is>
          <t>Coefficient - first_purchase_value</t>
        </is>
      </c>
      <c r="G5" t="n">
        <v>1013.287310357152</v>
      </c>
    </row>
    <row r="6">
      <c r="A6" t="inlineStr">
        <is>
          <t>entry_product</t>
        </is>
      </c>
      <c r="B6" t="inlineStr">
        <is>
          <t>Excel</t>
        </is>
      </c>
      <c r="C6" t="n">
        <v>-253.369330786054</v>
      </c>
      <c r="D6" t="inlineStr"/>
      <c r="F6" t="inlineStr">
        <is>
          <t>Coefficient - recurring_first_purchase</t>
        </is>
      </c>
      <c r="G6" t="n">
        <v>-368.7296916216356</v>
      </c>
    </row>
    <row r="7">
      <c r="A7" t="inlineStr">
        <is>
          <t>entry_product</t>
        </is>
      </c>
      <c r="B7" t="inlineStr">
        <is>
          <t>Full Stack JavaScript</t>
        </is>
      </c>
      <c r="C7" t="n">
        <v>-107.6436041491745</v>
      </c>
      <c r="D7" t="inlineStr"/>
    </row>
    <row r="8">
      <c r="A8" t="inlineStr">
        <is>
          <t>entry_product</t>
        </is>
      </c>
      <c r="B8" t="inlineStr">
        <is>
          <t>Lifetime Access</t>
        </is>
      </c>
      <c r="C8" t="n">
        <v>354.0234396918684</v>
      </c>
      <c r="D8" t="inlineStr"/>
    </row>
    <row r="9">
      <c r="A9" t="inlineStr">
        <is>
          <t>entry_product</t>
        </is>
      </c>
      <c r="B9" t="inlineStr">
        <is>
          <t>Other</t>
        </is>
      </c>
      <c r="C9" t="n">
        <v>-193.3406707514381</v>
      </c>
      <c r="D9" t="inlineStr"/>
    </row>
    <row r="10">
      <c r="A10" t="inlineStr">
        <is>
          <t>entry_product</t>
        </is>
      </c>
      <c r="B10" t="inlineStr">
        <is>
          <t>Power BI</t>
        </is>
      </c>
      <c r="C10" t="n">
        <v>36.01863517487777</v>
      </c>
      <c r="D10" t="inlineStr"/>
    </row>
    <row r="11">
      <c r="A11" t="inlineStr">
        <is>
          <t>entry_product</t>
        </is>
      </c>
      <c r="B11" t="inlineStr">
        <is>
          <t>Python</t>
        </is>
      </c>
      <c r="C11" t="n">
        <v>-157.0420256437802</v>
      </c>
      <c r="D11" t="inlineStr"/>
    </row>
    <row r="12">
      <c r="A12" t="inlineStr">
        <is>
          <t>sales_channel</t>
        </is>
      </c>
      <c r="B12" t="inlineStr">
        <is>
          <t>Checkout</t>
        </is>
      </c>
      <c r="C12" t="n">
        <v>0</v>
      </c>
      <c r="D12" t="inlineStr">
        <is>
          <t>Reference category</t>
        </is>
      </c>
    </row>
    <row r="13">
      <c r="A13" t="inlineStr">
        <is>
          <t>sales_channel</t>
        </is>
      </c>
      <c r="B13" t="inlineStr">
        <is>
          <t>Commercial</t>
        </is>
      </c>
      <c r="C13" t="n">
        <v>-138.729972008472</v>
      </c>
      <c r="D13" t="inlineStr"/>
    </row>
    <row r="14">
      <c r="A14" t="inlineStr">
        <is>
          <t>sales_channel</t>
        </is>
      </c>
      <c r="B14" t="inlineStr">
        <is>
          <t>Direct Traffic</t>
        </is>
      </c>
      <c r="C14" t="n">
        <v>-528.614588328954</v>
      </c>
      <c r="D14" t="inlineStr"/>
    </row>
    <row r="15">
      <c r="A15" t="inlineStr">
        <is>
          <t>sales_channel</t>
        </is>
      </c>
      <c r="B15" t="inlineStr">
        <is>
          <t>Launch</t>
        </is>
      </c>
      <c r="C15" t="n">
        <v>-211.3933668770506</v>
      </c>
      <c r="D15" t="inlineStr"/>
    </row>
    <row r="16">
      <c r="A16" t="inlineStr">
        <is>
          <t>sales_channel</t>
        </is>
      </c>
      <c r="B16" t="inlineStr">
        <is>
          <t>Other</t>
        </is>
      </c>
      <c r="C16" t="n">
        <v>-614.4626460042267</v>
      </c>
      <c r="D16" t="inlineStr"/>
    </row>
    <row r="17">
      <c r="A17" t="inlineStr">
        <is>
          <t>sales_channel</t>
        </is>
      </c>
      <c r="B17" t="inlineStr">
        <is>
          <t>Waitlist</t>
        </is>
      </c>
      <c r="C17" t="n">
        <v>-412.8072903068572</v>
      </c>
      <c r="D17" t="inlineStr"/>
    </row>
    <row r="18">
      <c r="A18" t="inlineStr">
        <is>
          <t>sales_channel</t>
        </is>
      </c>
      <c r="B18" t="inlineStr">
        <is>
          <t>Webinar</t>
        </is>
      </c>
      <c r="C18" t="n">
        <v>-169.9901237259228</v>
      </c>
      <c r="D18" t="inlineStr"/>
    </row>
    <row r="19">
      <c r="A19" t="inlineStr">
        <is>
          <t>gender</t>
        </is>
      </c>
      <c r="B19" t="inlineStr">
        <is>
          <t>Female</t>
        </is>
      </c>
      <c r="C19" t="n">
        <v>0</v>
      </c>
      <c r="D19" t="inlineStr">
        <is>
          <t>Reference category</t>
        </is>
      </c>
    </row>
    <row r="20">
      <c r="A20" t="inlineStr">
        <is>
          <t>gender</t>
        </is>
      </c>
      <c r="B20" t="inlineStr">
        <is>
          <t>Male</t>
        </is>
      </c>
      <c r="C20" t="n">
        <v>9.714148867380832</v>
      </c>
      <c r="D20" t="inlineStr"/>
    </row>
    <row r="21">
      <c r="A21" t="inlineStr">
        <is>
          <t>gender</t>
        </is>
      </c>
      <c r="B21" t="inlineStr">
        <is>
          <t>Other</t>
        </is>
      </c>
      <c r="C21" t="n">
        <v>7.747227096851855</v>
      </c>
      <c r="D21" t="inlineStr"/>
    </row>
    <row r="22">
      <c r="A22" t="inlineStr">
        <is>
          <t>education</t>
        </is>
      </c>
      <c r="B22" t="inlineStr">
        <is>
          <t>Basic Education</t>
        </is>
      </c>
      <c r="C22" t="n">
        <v>0</v>
      </c>
      <c r="D22" t="inlineStr">
        <is>
          <t>Reference category</t>
        </is>
      </c>
    </row>
    <row r="23">
      <c r="A23" t="inlineStr">
        <is>
          <t>education</t>
        </is>
      </c>
      <c r="B23" t="inlineStr">
        <is>
          <t>High School</t>
        </is>
      </c>
      <c r="C23" t="n">
        <v>-26.86885500772269</v>
      </c>
      <c r="D23" t="inlineStr"/>
    </row>
    <row r="24">
      <c r="A24" t="inlineStr">
        <is>
          <t>education</t>
        </is>
      </c>
      <c r="B24" t="inlineStr">
        <is>
          <t>Higher Education - Complete</t>
        </is>
      </c>
      <c r="C24" t="n">
        <v>-17.38222813444787</v>
      </c>
      <c r="D24" t="inlineStr"/>
    </row>
    <row r="25">
      <c r="A25" t="inlineStr">
        <is>
          <t>education</t>
        </is>
      </c>
      <c r="B25" t="inlineStr">
        <is>
          <t>Higher Education - Incomplete</t>
        </is>
      </c>
      <c r="C25" t="n">
        <v>-24.01308405800976</v>
      </c>
      <c r="D25" t="inlineStr"/>
    </row>
    <row r="26">
      <c r="A26" t="inlineStr">
        <is>
          <t>education</t>
        </is>
      </c>
      <c r="B26" t="inlineStr">
        <is>
          <t>Higher Education+</t>
        </is>
      </c>
      <c r="C26" t="n">
        <v>-23.84950788554162</v>
      </c>
      <c r="D26" t="inlineStr"/>
    </row>
    <row r="27">
      <c r="A27" t="inlineStr">
        <is>
          <t>education</t>
        </is>
      </c>
      <c r="B27" t="inlineStr">
        <is>
          <t>Not Reported</t>
        </is>
      </c>
      <c r="C27" t="n">
        <v>-27.92384865699283</v>
      </c>
      <c r="D27" t="inlineStr"/>
    </row>
    <row r="28">
      <c r="A28" t="inlineStr">
        <is>
          <t>purchase_month</t>
        </is>
      </c>
      <c r="B28" t="inlineStr">
        <is>
          <t>1</t>
        </is>
      </c>
      <c r="C28" t="n">
        <v>0</v>
      </c>
      <c r="D28" t="inlineStr">
        <is>
          <t>Reference category</t>
        </is>
      </c>
    </row>
    <row r="29">
      <c r="A29" t="inlineStr">
        <is>
          <t>purchase_month</t>
        </is>
      </c>
      <c r="B29" t="inlineStr">
        <is>
          <t>2</t>
        </is>
      </c>
      <c r="C29" t="n">
        <v>6.823636153664222</v>
      </c>
      <c r="D29" t="inlineStr"/>
    </row>
    <row r="30">
      <c r="A30" t="inlineStr">
        <is>
          <t>purchase_month</t>
        </is>
      </c>
      <c r="B30" t="inlineStr">
        <is>
          <t>3</t>
        </is>
      </c>
      <c r="C30" t="n">
        <v>7.928715406058473</v>
      </c>
      <c r="D30" t="inlineStr"/>
    </row>
    <row r="31">
      <c r="A31" t="inlineStr">
        <is>
          <t>purchase_month</t>
        </is>
      </c>
      <c r="B31" t="inlineStr">
        <is>
          <t>4</t>
        </is>
      </c>
      <c r="C31" t="n">
        <v>11.61545681927572</v>
      </c>
      <c r="D31" t="inlineStr"/>
    </row>
    <row r="32">
      <c r="A32" t="inlineStr">
        <is>
          <t>purchase_month</t>
        </is>
      </c>
      <c r="B32" t="inlineStr">
        <is>
          <t>5</t>
        </is>
      </c>
      <c r="C32" t="n">
        <v>-25.72489275593819</v>
      </c>
      <c r="D32" t="inlineStr"/>
    </row>
    <row r="33">
      <c r="A33" t="inlineStr">
        <is>
          <t>purchase_month</t>
        </is>
      </c>
      <c r="B33" t="inlineStr">
        <is>
          <t>6</t>
        </is>
      </c>
      <c r="C33" t="n">
        <v>11.26413752562402</v>
      </c>
      <c r="D33" t="inlineStr"/>
    </row>
    <row r="34">
      <c r="A34" t="inlineStr">
        <is>
          <t>purchase_month</t>
        </is>
      </c>
      <c r="B34" t="inlineStr">
        <is>
          <t>7</t>
        </is>
      </c>
      <c r="C34" t="n">
        <v>-12.4621863861399</v>
      </c>
      <c r="D34" t="inlineStr"/>
    </row>
    <row r="35">
      <c r="A35" t="inlineStr">
        <is>
          <t>purchase_month</t>
        </is>
      </c>
      <c r="B35" t="inlineStr">
        <is>
          <t>8</t>
        </is>
      </c>
      <c r="C35" t="n">
        <v>-28.91453218494131</v>
      </c>
      <c r="D35" t="inlineStr"/>
    </row>
    <row r="36">
      <c r="A36" t="inlineStr">
        <is>
          <t>purchase_month</t>
        </is>
      </c>
      <c r="B36" t="inlineStr">
        <is>
          <t>9</t>
        </is>
      </c>
      <c r="C36" t="n">
        <v>23.72690737288671</v>
      </c>
      <c r="D36" t="inlineStr"/>
    </row>
    <row r="37">
      <c r="A37" t="inlineStr">
        <is>
          <t>purchase_month</t>
        </is>
      </c>
      <c r="B37" t="inlineStr">
        <is>
          <t>10</t>
        </is>
      </c>
      <c r="C37" t="n">
        <v>12.5349440089512</v>
      </c>
      <c r="D37" t="inlineStr"/>
    </row>
    <row r="38">
      <c r="A38" t="inlineStr">
        <is>
          <t>purchase_month</t>
        </is>
      </c>
      <c r="B38" t="inlineStr">
        <is>
          <t>11</t>
        </is>
      </c>
      <c r="C38" t="n">
        <v>22.69886648362883</v>
      </c>
      <c r="D38" t="inlineStr"/>
    </row>
    <row r="39">
      <c r="A39" t="inlineStr">
        <is>
          <t>purchase_month</t>
        </is>
      </c>
      <c r="B39" t="inlineStr">
        <is>
          <t>12</t>
        </is>
      </c>
      <c r="C39" t="n">
        <v>13.72426878021508</v>
      </c>
      <c r="D39" t="inlineStr"/>
    </row>
    <row r="40">
      <c r="A40" t="inlineStr">
        <is>
          <t>purchase_day_of_week</t>
        </is>
      </c>
      <c r="B40" t="inlineStr">
        <is>
          <t>Friday</t>
        </is>
      </c>
      <c r="C40" t="n">
        <v>0</v>
      </c>
      <c r="D40" t="inlineStr">
        <is>
          <t>Reference category</t>
        </is>
      </c>
    </row>
    <row r="41">
      <c r="A41" t="inlineStr">
        <is>
          <t>purchase_day_of_week</t>
        </is>
      </c>
      <c r="B41" t="inlineStr">
        <is>
          <t>Monday</t>
        </is>
      </c>
      <c r="C41" t="n">
        <v>-4.071061642523554</v>
      </c>
      <c r="D41" t="inlineStr"/>
    </row>
    <row r="42">
      <c r="A42" t="inlineStr">
        <is>
          <t>purchase_day_of_week</t>
        </is>
      </c>
      <c r="B42" t="inlineStr">
        <is>
          <t>Saturday</t>
        </is>
      </c>
      <c r="C42" t="n">
        <v>6.2257800857395</v>
      </c>
      <c r="D42" t="inlineStr"/>
    </row>
    <row r="43">
      <c r="A43" t="inlineStr">
        <is>
          <t>purchase_day_of_week</t>
        </is>
      </c>
      <c r="B43" t="inlineStr">
        <is>
          <t>Sunday</t>
        </is>
      </c>
      <c r="C43" t="n">
        <v>2.076687433530895</v>
      </c>
      <c r="D43" t="inlineStr"/>
    </row>
    <row r="44">
      <c r="A44" t="inlineStr">
        <is>
          <t>purchase_day_of_week</t>
        </is>
      </c>
      <c r="B44" t="inlineStr">
        <is>
          <t>Thursday</t>
        </is>
      </c>
      <c r="C44" t="n">
        <v>-12.42667679412001</v>
      </c>
      <c r="D44" t="inlineStr"/>
    </row>
    <row r="45">
      <c r="A45" t="inlineStr">
        <is>
          <t>purchase_day_of_week</t>
        </is>
      </c>
      <c r="B45" t="inlineStr">
        <is>
          <t>Tuesday</t>
        </is>
      </c>
      <c r="C45" t="n">
        <v>9.222414228021588</v>
      </c>
      <c r="D45" t="inlineStr"/>
    </row>
    <row r="46">
      <c r="A46" t="inlineStr">
        <is>
          <t>purchase_day_of_week</t>
        </is>
      </c>
      <c r="B46" t="inlineStr">
        <is>
          <t>Wednesday</t>
        </is>
      </c>
      <c r="C46" t="n">
        <v>-6.058396875396041</v>
      </c>
      <c r="D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2026-08-23T12:12:08Z</dcterms:created>
  <dcterms:modified xsi:type="dcterms:W3CDTF">2026-08-23T12:12:08Z</dcterms:modified>
</cp:coreProperties>
</file>