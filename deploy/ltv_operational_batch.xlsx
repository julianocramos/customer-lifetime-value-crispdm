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2836705e5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w Customers" sheetId="1" r:id="R6d26634707f44c59"/>
    <x:sheet xmlns:r="http://schemas.openxmlformats.org/officeDocument/2006/relationships" name="Model Parameters" sheetId="2" r:id="R7f3ff4208665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R$ #,##0.00"/>
    <x:numFmt numFmtId="202" formatCode="0.000000"/>
    <x:numFmt numFmtId="203" formatCode="R$ #,##0.00;[Red]-R$ #,##0.00"/>
  </x:numFmts>
  <x:fonts count="4">
    <x:font>
      <x:sz val="11"/>
      <x:name val="Carlito"/>
    </x:font>
    <x:font>
      <x:b/>
      <x:sz val="18"/>
      <x:color rgb="FFFFFFFF"/>
      <x:name val="Carlito"/>
    </x:font>
    <x:font>
      <x:sz val="10"/>
      <x:color rgb="FF333333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203864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  <x:dxfs count="4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dda72b950b416a" /><Relationship Type="http://schemas.openxmlformats.org/officeDocument/2006/relationships/theme" Target="/xl/theme/theme1.xml" Id="Raa7250c8aba74da0" /><Relationship Type="http://schemas.openxmlformats.org/officeDocument/2006/relationships/sharedStrings" Target="/xl/sharedStrings.xml" Id="Rd2dfff896b9449f3" /><Relationship Type="http://schemas.openxmlformats.org/officeDocument/2006/relationships/worksheet" Target="/xl/worksheets/sheet1.xml" Id="R6d26634707f44c59" /><Relationship Type="http://schemas.openxmlformats.org/officeDocument/2006/relationships/worksheet" Target="/xl/worksheets/sheet2.xml" Id="R7f3ff42086654ce5" /></Relationships>
</file>

<file path=xl/tables/table1.xml><?xml version="1.0" encoding="utf-8"?>
<x:table xmlns:x="http://schemas.openxmlformats.org/spreadsheetml/2006/main" id="1" name="NewCustomerScoring" displayName="NewCustomerScoring" ref="A8:S108" headerRowCount="1" totalsRowCount="0" totalsRowShown="0">
  <x:tableColumns count="19">
    <x:tableColumn id="1" name="Customer ID"/>
    <x:tableColumn id="2" name="First Purchase Value (R$)"/>
    <x:tableColumn id="3" name="Recurring?"/>
    <x:tableColumn id="4" name="Entry Product"/>
    <x:tableColumn id="5" name="Sales Channel"/>
    <x:tableColumn id="6" name="Gender"/>
    <x:tableColumn id="7" name="Education"/>
    <x:tableColumn id="8" name="Purchase Month"/>
    <x:tableColumn id="9" name="Purchase Day"/>
    <x:tableColumn id="10" name="Predicted LTV (R$)"/>
    <x:tableColumn id="11" name="First Purchase Impact"/>
    <x:tableColumn id="12" name="Recurrence Impact"/>
    <x:tableColumn id="13" name="Product Impact"/>
    <x:tableColumn id="14" name="Channel Impact"/>
    <x:tableColumn id="15" name="Gender Impact"/>
    <x:tableColumn id="16" name="Education Impact"/>
    <x:tableColumn id="17" name="Month Impact"/>
    <x:tableColumn id="18" name="Day Impact"/>
    <x:tableColumn id="1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742649d807492b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14" hidden="0" customWidth="1"/>
    <x:col min="4" max="4" width="22" hidden="0" customWidth="1"/>
    <x:col min="5" max="5" width="18" hidden="0" customWidth="1"/>
    <x:col min="6" max="6" width="14" hidden="0" customWidth="1"/>
    <x:col min="7" max="7" width="28" hidden="0" customWidth="1"/>
    <x:col min="8" max="8" width="14" hidden="0" customWidth="1"/>
    <x:col min="9" max="9" width="18" hidden="0" customWidth="1"/>
    <x:col min="10" max="10" width="18" hidden="0" customWidth="1"/>
    <x:col min="11" max="11" width="20" hidden="0" customWidth="1"/>
    <x:col min="12" max="12" width="18" hidden="0" customWidth="1"/>
    <x:col min="13" max="13" width="18" hidden="0" customWidth="1"/>
    <x:col min="14" max="14" width="18" hidden="0" customWidth="1"/>
    <x:col min="15" max="15" width="16" hidden="0" customWidth="1"/>
    <x:col min="16" max="16" width="18" hidden="0" customWidth="1"/>
    <x:col min="17" max="17" width="16" hidden="0" customWidth="1"/>
    <x:col min="18" max="18" width="16" hidden="0" customWidth="1"/>
    <x:col min="19" max="19" width="18" hidden="0" customWidth="1"/>
  </x:cols>
  <x:sheetData>
    <x:row r="1">
      <x:c r="A1" s="5" t="str">
        <x:v>OPERATIONAL LTV SCORING TABLE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3">
      <x:c r="A3" s="12" t="str">
        <x:v>Enter new-customer information in the blue columns. Predicted LTV and feature impacts are calculated automatically.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</x:row>
    <x:row r="5">
      <x:c r="A5" s="18" t="str">
        <x:v>Model</x:v>
      </x:c>
      <x:c r="B5" s="18" t="str">
        <x:v>Test R²</x:v>
      </x:c>
      <x:c r="C5" s="18" t="str">
        <x:v>RMSE</x:v>
      </x:c>
      <x:c r="D5" s="18" t="str">
        <x:v>MAE</x:v>
      </x:c>
    </x:row>
    <x:row r="6">
      <x:c r="A6" t="str">
        <x:v>Linear Regression</x:v>
      </x:c>
      <x:c r="B6" s="22" t="n">
        <x:v>0.8477576423540136</x:v>
      </x:c>
      <x:c r="C6" s="24" t="n">
        <x:v>507.7353021589962</x:v>
      </x:c>
      <x:c r="D6" s="24" t="n">
        <x:v>404.0261679823802</x:v>
      </x:c>
    </x:row>
    <x:row r="8" ht="38" customHeight="1">
      <x:c r="A8" s="30" t="str">
        <x:v>Customer ID</x:v>
      </x:c>
      <x:c r="B8" s="30" t="str">
        <x:v>First Purchase Value (R$)</x:v>
      </x:c>
      <x:c r="C8" s="30" t="str">
        <x:v>Recurring?</x:v>
      </x:c>
      <x:c r="D8" s="30" t="str">
        <x:v>Entry Product</x:v>
      </x:c>
      <x:c r="E8" s="30" t="str">
        <x:v>Sales Channel</x:v>
      </x:c>
      <x:c r="F8" s="30" t="str">
        <x:v>Gender</x:v>
      </x:c>
      <x:c r="G8" s="30" t="str">
        <x:v>Education</x:v>
      </x:c>
      <x:c r="H8" s="30" t="str">
        <x:v>Purchase Month</x:v>
      </x:c>
      <x:c r="I8" s="30" t="str">
        <x:v>Purchase Day</x:v>
      </x:c>
      <x:c r="J8" s="30" t="str">
        <x:v>Predicted LTV (R$)</x:v>
      </x:c>
      <x:c r="K8" s="30" t="str">
        <x:v>First Purchase Impact</x:v>
      </x:c>
      <x:c r="L8" s="30" t="str">
        <x:v>Recurrence Impact</x:v>
      </x:c>
      <x:c r="M8" s="30" t="str">
        <x:v>Product Impact</x:v>
      </x:c>
      <x:c r="N8" s="30" t="str">
        <x:v>Channel Impact</x:v>
      </x:c>
      <x:c r="O8" s="30" t="str">
        <x:v>Gender Impact</x:v>
      </x:c>
      <x:c r="P8" s="30" t="str">
        <x:v>Education Impact</x:v>
      </x:c>
      <x:c r="Q8" s="30" t="str">
        <x:v>Month Impact</x:v>
      </x:c>
      <x:c r="R8" s="30" t="str">
        <x:v>Day Impact</x:v>
      </x:c>
      <x:c r="S8" s="30" t="str">
        <x:v>Status</x:v>
      </x:c>
    </x:row>
    <x:row r="9">
      <x:c r="A9" s="36" t="str">
        <x:v>EXAMPLE-001</x:v>
      </x:c>
      <x:c r="B9" s="38" t="n">
        <x:v>997</x:v>
      </x:c>
      <x:c r="C9" s="36" t="str">
        <x:v>Yes</x:v>
      </x:c>
      <x:c r="D9" s="36" t="str">
        <x:v>Commercial</x:v>
      </x:c>
      <x:c r="E9" s="36" t="str">
        <x:v>Waitlist</x:v>
      </x:c>
      <x:c r="F9" s="36" t="str">
        <x:v>Male</x:v>
      </x:c>
      <x:c r="G9" s="36" t="str">
        <x:v>Higher Education - Complete</x:v>
      </x:c>
      <x:c r="H9" s="36" t="n">
        <x:v>1</x:v>
      </x:c>
      <x:c r="I9" s="36" t="str">
        <x:v>Tuesday</x:v>
      </x:c>
      <x:c r="J9" s="48" t="n">
        <x:f>IF(COUNTA(B9:I9)&lt;8,"",ROUND('Model Parameters'!$G$2+'Model Parameters'!$G$5*((B9-'Model Parameters'!$G$3)/'Model Parameters'!$G$4)+'Model Parameters'!$G$6*IF(C9="Yes",1,0)+SUMIFS('Model Parameters'!$C$2:$C$46,'Model Parameters'!$A$2:$A$46,"entry_product",'Model Parameters'!$B$2:$B$46,D9)+SUMIFS('Model Parameters'!$C$2:$C$46,'Model Parameters'!$A$2:$A$46,"sales_channel",'Model Parameters'!$B$2:$B$46,E9)+SUMIFS('Model Parameters'!$C$2:$C$46,'Model Parameters'!$A$2:$A$46,"gender",'Model Parameters'!$B$2:$B$46,F9)+SUMIFS('Model Parameters'!$C$2:$C$46,'Model Parameters'!$A$2:$A$46,"education",'Model Parameters'!$B$2:$B$46,G9)+SUMIFS('Model Parameters'!$C$2:$C$46,'Model Parameters'!$A$2:$A$46,"purchase_month",'Model Parameters'!$B$2:$B$46,TEXT(H9,"0"))+SUMIFS('Model Parameters'!$C$2:$C$46,'Model Parameters'!$A$2:$A$46,"purchase_day_of_week",'Model Parameters'!$B$2:$B$46,I9),2))</x:f>
        <x:v>2396.84</x:v>
      </x:c>
      <x:c r="K9" s="48" t="n">
        <x:f>IF(B9="","",'Model Parameters'!$G$5*((B9-'Model Parameters'!$G$3)/'Model Parameters'!$G$4))</x:f>
        <x:v>428.94128744423085</x:v>
      </x:c>
      <x:c r="L9" s="48" t="n">
        <x:f>IF(C9="","",'Model Parameters'!$G$6*IF(C9="Yes",1,0))</x:f>
        <x:v>-368.7296916216356</x:v>
      </x:c>
      <x:c r="M9" s="48" t="n">
        <x:f>IF(D9="","",SUMIFS('Model Parameters'!$C$2:$C$46,'Model Parameters'!$A$2:$A$46,"entry_product",'Model Parameters'!$B$2:$B$46,D9))</x:f>
        <x:v>0</x:v>
      </x:c>
      <x:c r="N9" s="48" t="n">
        <x:f>IF(E9="","",SUMIFS('Model Parameters'!$C$2:$C$46,'Model Parameters'!$A$2:$A$46,"sales_channel",'Model Parameters'!$B$2:$B$46,E9))</x:f>
        <x:v>-412.80729030685717</x:v>
      </x:c>
      <x:c r="O9" s="48" t="n">
        <x:f>IF(F9="","",SUMIFS('Model Parameters'!$C$2:$C$46,'Model Parameters'!$A$2:$A$46,"gender",'Model Parameters'!$B$2:$B$46,F9))</x:f>
        <x:v>9.714148867380832</x:v>
      </x:c>
      <x:c r="P9" s="48" t="n">
        <x:f>IF(G9="","",SUMIFS('Model Parameters'!$C$2:$C$46,'Model Parameters'!$A$2:$A$46,"education",'Model Parameters'!$B$2:$B$46,G9))</x:f>
        <x:v>-17.382228134447868</x:v>
      </x:c>
      <x:c r="Q9" s="48" t="n">
        <x:f>IF(H9="","",SUMIFS('Model Parameters'!$C$2:$C$46,'Model Parameters'!$A$2:$A$46,"purchase_month",'Model Parameters'!$B$2:$B$46,TEXT(H9,"0")))</x:f>
        <x:v>0</x:v>
      </x:c>
      <x:c r="R9" s="48" t="n">
        <x:f>IF(I9="","",SUMIFS('Model Parameters'!$C$2:$C$46,'Model Parameters'!$A$2:$A$46,"purchase_day_of_week",'Model Parameters'!$B$2:$B$46,I9))</x:f>
        <x:v>9.222414228021588</x:v>
      </x:c>
      <x:c r="S9" t="str">
        <x:f>IF(COUNTA(B9:I9)=0,"Waiting for input",IF(COUNTA(B9:I9)&lt;8,"Incomplete","Calculated"))</x:f>
        <x:v>Calculated</x:v>
      </x:c>
    </x:row>
    <x:row r="10">
      <x:c r="A10" s="36" t="str">
        <x:v>CUST-002</x:v>
      </x:c>
      <x:c r="B10" s="38"/>
      <x:c r="C10" s="36"/>
      <x:c r="D10" s="36"/>
      <x:c r="E10" s="36"/>
      <x:c r="F10" s="36"/>
      <x:c r="G10" s="36"/>
      <x:c r="H10" s="36"/>
      <x:c r="I10" s="36"/>
      <x:c r="J10" s="48" t="str">
        <x:f>IF(COUNTA(B10:I10)&lt;8,"",ROUND('Model Parameters'!$G$2+'Model Parameters'!$G$5*((B10-'Model Parameters'!$G$3)/'Model Parameters'!$G$4)+'Model Parameters'!$G$6*IF(C10="Yes",1,0)+SUMIFS('Model Parameters'!$C$2:$C$46,'Model Parameters'!$A$2:$A$46,"entry_product",'Model Parameters'!$B$2:$B$46,D10)+SUMIFS('Model Parameters'!$C$2:$C$46,'Model Parameters'!$A$2:$A$46,"sales_channel",'Model Parameters'!$B$2:$B$46,E10)+SUMIFS('Model Parameters'!$C$2:$C$46,'Model Parameters'!$A$2:$A$46,"gender",'Model Parameters'!$B$2:$B$46,F10)+SUMIFS('Model Parameters'!$C$2:$C$46,'Model Parameters'!$A$2:$A$46,"education",'Model Parameters'!$B$2:$B$46,G10)+SUMIFS('Model Parameters'!$C$2:$C$46,'Model Parameters'!$A$2:$A$46,"purchase_month",'Model Parameters'!$B$2:$B$46,TEXT(H10,"0"))+SUMIFS('Model Parameters'!$C$2:$C$46,'Model Parameters'!$A$2:$A$46,"purchase_day_of_week",'Model Parameters'!$B$2:$B$46,I10),2))</x:f>
      </x:c>
      <x:c r="K10" s="48" t="str">
        <x:f>IF(B10="","",'Model Parameters'!$G$5*((B10-'Model Parameters'!$G$3)/'Model Parameters'!$G$4))</x:f>
      </x:c>
      <x:c r="L10" s="48" t="str">
        <x:f>IF(C10="","",'Model Parameters'!$G$6*IF(C10="Yes",1,0))</x:f>
      </x:c>
      <x:c r="M10" s="48" t="str">
        <x:f>IF(D10="","",SUMIFS('Model Parameters'!$C$2:$C$46,'Model Parameters'!$A$2:$A$46,"entry_product",'Model Parameters'!$B$2:$B$46,D10))</x:f>
      </x:c>
      <x:c r="N10" s="48" t="str">
        <x:f>IF(E10="","",SUMIFS('Model Parameters'!$C$2:$C$46,'Model Parameters'!$A$2:$A$46,"sales_channel",'Model Parameters'!$B$2:$B$46,E10))</x:f>
      </x:c>
      <x:c r="O10" s="48" t="str">
        <x:f>IF(F10="","",SUMIFS('Model Parameters'!$C$2:$C$46,'Model Parameters'!$A$2:$A$46,"gender",'Model Parameters'!$B$2:$B$46,F10))</x:f>
      </x:c>
      <x:c r="P10" s="48" t="str">
        <x:f>IF(G10="","",SUMIFS('Model Parameters'!$C$2:$C$46,'Model Parameters'!$A$2:$A$46,"education",'Model Parameters'!$B$2:$B$46,G10))</x:f>
      </x:c>
      <x:c r="Q10" s="48" t="str">
        <x:f>IF(H10="","",SUMIFS('Model Parameters'!$C$2:$C$46,'Model Parameters'!$A$2:$A$46,"purchase_month",'Model Parameters'!$B$2:$B$46,TEXT(H10,"0")))</x:f>
      </x:c>
      <x:c r="R10" s="48" t="str">
        <x:f>IF(I10="","",SUMIFS('Model Parameters'!$C$2:$C$46,'Model Parameters'!$A$2:$A$46,"purchase_day_of_week",'Model Parameters'!$B$2:$B$46,I10))</x:f>
      </x:c>
      <x:c r="S10" t="str">
        <x:f>IF(COUNTA(B10:I10)=0,"Waiting for input",IF(COUNTA(B10:I10)&lt;8,"Incomplete","Calculated"))</x:f>
        <x:v>Waiting for input</x:v>
      </x:c>
    </x:row>
    <x:row r="11">
      <x:c r="A11" s="36" t="str">
        <x:v>CUST-003</x:v>
      </x:c>
      <x:c r="B11" s="38"/>
      <x:c r="C11" s="36"/>
      <x:c r="D11" s="36"/>
      <x:c r="E11" s="36"/>
      <x:c r="F11" s="36"/>
      <x:c r="G11" s="36"/>
      <x:c r="H11" s="36"/>
      <x:c r="I11" s="36"/>
      <x:c r="J11" s="48" t="str">
        <x:f>IF(COUNTA(B11:I11)&lt;8,"",ROUND('Model Parameters'!$G$2+'Model Parameters'!$G$5*((B11-'Model Parameters'!$G$3)/'Model Parameters'!$G$4)+'Model Parameters'!$G$6*IF(C11="Yes",1,0)+SUMIFS('Model Parameters'!$C$2:$C$46,'Model Parameters'!$A$2:$A$46,"entry_product",'Model Parameters'!$B$2:$B$46,D11)+SUMIFS('Model Parameters'!$C$2:$C$46,'Model Parameters'!$A$2:$A$46,"sales_channel",'Model Parameters'!$B$2:$B$46,E11)+SUMIFS('Model Parameters'!$C$2:$C$46,'Model Parameters'!$A$2:$A$46,"gender",'Model Parameters'!$B$2:$B$46,F11)+SUMIFS('Model Parameters'!$C$2:$C$46,'Model Parameters'!$A$2:$A$46,"education",'Model Parameters'!$B$2:$B$46,G11)+SUMIFS('Model Parameters'!$C$2:$C$46,'Model Parameters'!$A$2:$A$46,"purchase_month",'Model Parameters'!$B$2:$B$46,TEXT(H11,"0"))+SUMIFS('Model Parameters'!$C$2:$C$46,'Model Parameters'!$A$2:$A$46,"purchase_day_of_week",'Model Parameters'!$B$2:$B$46,I11),2))</x:f>
      </x:c>
      <x:c r="K11" s="48" t="str">
        <x:f>IF(B11="","",'Model Parameters'!$G$5*((B11-'Model Parameters'!$G$3)/'Model Parameters'!$G$4))</x:f>
      </x:c>
      <x:c r="L11" s="48" t="str">
        <x:f>IF(C11="","",'Model Parameters'!$G$6*IF(C11="Yes",1,0))</x:f>
      </x:c>
      <x:c r="M11" s="48" t="str">
        <x:f>IF(D11="","",SUMIFS('Model Parameters'!$C$2:$C$46,'Model Parameters'!$A$2:$A$46,"entry_product",'Model Parameters'!$B$2:$B$46,D11))</x:f>
      </x:c>
      <x:c r="N11" s="48" t="str">
        <x:f>IF(E11="","",SUMIFS('Model Parameters'!$C$2:$C$46,'Model Parameters'!$A$2:$A$46,"sales_channel",'Model Parameters'!$B$2:$B$46,E11))</x:f>
      </x:c>
      <x:c r="O11" s="48" t="str">
        <x:f>IF(F11="","",SUMIFS('Model Parameters'!$C$2:$C$46,'Model Parameters'!$A$2:$A$46,"gender",'Model Parameters'!$B$2:$B$46,F11))</x:f>
      </x:c>
      <x:c r="P11" s="48" t="str">
        <x:f>IF(G11="","",SUMIFS('Model Parameters'!$C$2:$C$46,'Model Parameters'!$A$2:$A$46,"education",'Model Parameters'!$B$2:$B$46,G11))</x:f>
      </x:c>
      <x:c r="Q11" s="48" t="str">
        <x:f>IF(H11="","",SUMIFS('Model Parameters'!$C$2:$C$46,'Model Parameters'!$A$2:$A$46,"purchase_month",'Model Parameters'!$B$2:$B$46,TEXT(H11,"0")))</x:f>
      </x:c>
      <x:c r="R11" s="48" t="str">
        <x:f>IF(I11="","",SUMIFS('Model Parameters'!$C$2:$C$46,'Model Parameters'!$A$2:$A$46,"purchase_day_of_week",'Model Parameters'!$B$2:$B$46,I11))</x:f>
      </x:c>
      <x:c r="S11" t="str">
        <x:f>IF(COUNTA(B11:I11)=0,"Waiting for input",IF(COUNTA(B11:I11)&lt;8,"Incomplete","Calculated"))</x:f>
        <x:v>Waiting for input</x:v>
      </x:c>
    </x:row>
    <x:row r="12">
      <x:c r="A12" s="36" t="str">
        <x:v>CUST-004</x:v>
      </x:c>
      <x:c r="B12" s="38"/>
      <x:c r="C12" s="36"/>
      <x:c r="D12" s="36"/>
      <x:c r="E12" s="36"/>
      <x:c r="F12" s="36"/>
      <x:c r="G12" s="36"/>
      <x:c r="H12" s="36"/>
      <x:c r="I12" s="36"/>
      <x:c r="J12" s="48" t="str">
        <x:f>IF(COUNTA(B12:I12)&lt;8,"",ROUND('Model Parameters'!$G$2+'Model Parameters'!$G$5*((B12-'Model Parameters'!$G$3)/'Model Parameters'!$G$4)+'Model Parameters'!$G$6*IF(C12="Yes",1,0)+SUMIFS('Model Parameters'!$C$2:$C$46,'Model Parameters'!$A$2:$A$46,"entry_product",'Model Parameters'!$B$2:$B$46,D12)+SUMIFS('Model Parameters'!$C$2:$C$46,'Model Parameters'!$A$2:$A$46,"sales_channel",'Model Parameters'!$B$2:$B$46,E12)+SUMIFS('Model Parameters'!$C$2:$C$46,'Model Parameters'!$A$2:$A$46,"gender",'Model Parameters'!$B$2:$B$46,F12)+SUMIFS('Model Parameters'!$C$2:$C$46,'Model Parameters'!$A$2:$A$46,"education",'Model Parameters'!$B$2:$B$46,G12)+SUMIFS('Model Parameters'!$C$2:$C$46,'Model Parameters'!$A$2:$A$46,"purchase_month",'Model Parameters'!$B$2:$B$46,TEXT(H12,"0"))+SUMIFS('Model Parameters'!$C$2:$C$46,'Model Parameters'!$A$2:$A$46,"purchase_day_of_week",'Model Parameters'!$B$2:$B$46,I12),2))</x:f>
      </x:c>
      <x:c r="K12" s="48" t="str">
        <x:f>IF(B12="","",'Model Parameters'!$G$5*((B12-'Model Parameters'!$G$3)/'Model Parameters'!$G$4))</x:f>
      </x:c>
      <x:c r="L12" s="48" t="str">
        <x:f>IF(C12="","",'Model Parameters'!$G$6*IF(C12="Yes",1,0))</x:f>
      </x:c>
      <x:c r="M12" s="48" t="str">
        <x:f>IF(D12="","",SUMIFS('Model Parameters'!$C$2:$C$46,'Model Parameters'!$A$2:$A$46,"entry_product",'Model Parameters'!$B$2:$B$46,D12))</x:f>
      </x:c>
      <x:c r="N12" s="48" t="str">
        <x:f>IF(E12="","",SUMIFS('Model Parameters'!$C$2:$C$46,'Model Parameters'!$A$2:$A$46,"sales_channel",'Model Parameters'!$B$2:$B$46,E12))</x:f>
      </x:c>
      <x:c r="O12" s="48" t="str">
        <x:f>IF(F12="","",SUMIFS('Model Parameters'!$C$2:$C$46,'Model Parameters'!$A$2:$A$46,"gender",'Model Parameters'!$B$2:$B$46,F12))</x:f>
      </x:c>
      <x:c r="P12" s="48" t="str">
        <x:f>IF(G12="","",SUMIFS('Model Parameters'!$C$2:$C$46,'Model Parameters'!$A$2:$A$46,"education",'Model Parameters'!$B$2:$B$46,G12))</x:f>
      </x:c>
      <x:c r="Q12" s="48" t="str">
        <x:f>IF(H12="","",SUMIFS('Model Parameters'!$C$2:$C$46,'Model Parameters'!$A$2:$A$46,"purchase_month",'Model Parameters'!$B$2:$B$46,TEXT(H12,"0")))</x:f>
      </x:c>
      <x:c r="R12" s="48" t="str">
        <x:f>IF(I12="","",SUMIFS('Model Parameters'!$C$2:$C$46,'Model Parameters'!$A$2:$A$46,"purchase_day_of_week",'Model Parameters'!$B$2:$B$46,I12))</x:f>
      </x:c>
      <x:c r="S12" t="str">
        <x:f>IF(COUNTA(B12:I12)=0,"Waiting for input",IF(COUNTA(B12:I12)&lt;8,"Incomplete","Calculated"))</x:f>
        <x:v>Waiting for input</x:v>
      </x:c>
    </x:row>
    <x:row r="13">
      <x:c r="A13" s="36" t="str">
        <x:v>CUST-005</x:v>
      </x:c>
      <x:c r="B13" s="38"/>
      <x:c r="C13" s="36"/>
      <x:c r="D13" s="36"/>
      <x:c r="E13" s="36"/>
      <x:c r="F13" s="36"/>
      <x:c r="G13" s="36"/>
      <x:c r="H13" s="36"/>
      <x:c r="I13" s="36"/>
      <x:c r="J13" s="48" t="str">
        <x:f>IF(COUNTA(B13:I13)&lt;8,"",ROUND('Model Parameters'!$G$2+'Model Parameters'!$G$5*((B13-'Model Parameters'!$G$3)/'Model Parameters'!$G$4)+'Model Parameters'!$G$6*IF(C13="Yes",1,0)+SUMIFS('Model Parameters'!$C$2:$C$46,'Model Parameters'!$A$2:$A$46,"entry_product",'Model Parameters'!$B$2:$B$46,D13)+SUMIFS('Model Parameters'!$C$2:$C$46,'Model Parameters'!$A$2:$A$46,"sales_channel",'Model Parameters'!$B$2:$B$46,E13)+SUMIFS('Model Parameters'!$C$2:$C$46,'Model Parameters'!$A$2:$A$46,"gender",'Model Parameters'!$B$2:$B$46,F13)+SUMIFS('Model Parameters'!$C$2:$C$46,'Model Parameters'!$A$2:$A$46,"education",'Model Parameters'!$B$2:$B$46,G13)+SUMIFS('Model Parameters'!$C$2:$C$46,'Model Parameters'!$A$2:$A$46,"purchase_month",'Model Parameters'!$B$2:$B$46,TEXT(H13,"0"))+SUMIFS('Model Parameters'!$C$2:$C$46,'Model Parameters'!$A$2:$A$46,"purchase_day_of_week",'Model Parameters'!$B$2:$B$46,I13),2))</x:f>
      </x:c>
      <x:c r="K13" s="48" t="str">
        <x:f>IF(B13="","",'Model Parameters'!$G$5*((B13-'Model Parameters'!$G$3)/'Model Parameters'!$G$4))</x:f>
      </x:c>
      <x:c r="L13" s="48" t="str">
        <x:f>IF(C13="","",'Model Parameters'!$G$6*IF(C13="Yes",1,0))</x:f>
      </x:c>
      <x:c r="M13" s="48" t="str">
        <x:f>IF(D13="","",SUMIFS('Model Parameters'!$C$2:$C$46,'Model Parameters'!$A$2:$A$46,"entry_product",'Model Parameters'!$B$2:$B$46,D13))</x:f>
      </x:c>
      <x:c r="N13" s="48" t="str">
        <x:f>IF(E13="","",SUMIFS('Model Parameters'!$C$2:$C$46,'Model Parameters'!$A$2:$A$46,"sales_channel",'Model Parameters'!$B$2:$B$46,E13))</x:f>
      </x:c>
      <x:c r="O13" s="48" t="str">
        <x:f>IF(F13="","",SUMIFS('Model Parameters'!$C$2:$C$46,'Model Parameters'!$A$2:$A$46,"gender",'Model Parameters'!$B$2:$B$46,F13))</x:f>
      </x:c>
      <x:c r="P13" s="48" t="str">
        <x:f>IF(G13="","",SUMIFS('Model Parameters'!$C$2:$C$46,'Model Parameters'!$A$2:$A$46,"education",'Model Parameters'!$B$2:$B$46,G13))</x:f>
      </x:c>
      <x:c r="Q13" s="48" t="str">
        <x:f>IF(H13="","",SUMIFS('Model Parameters'!$C$2:$C$46,'Model Parameters'!$A$2:$A$46,"purchase_month",'Model Parameters'!$B$2:$B$46,TEXT(H13,"0")))</x:f>
      </x:c>
      <x:c r="R13" s="48" t="str">
        <x:f>IF(I13="","",SUMIFS('Model Parameters'!$C$2:$C$46,'Model Parameters'!$A$2:$A$46,"purchase_day_of_week",'Model Parameters'!$B$2:$B$46,I13))</x:f>
      </x:c>
      <x:c r="S13" t="str">
        <x:f>IF(COUNTA(B13:I13)=0,"Waiting for input",IF(COUNTA(B13:I13)&lt;8,"Incomplete","Calculated"))</x:f>
        <x:v>Waiting for input</x:v>
      </x:c>
    </x:row>
    <x:row r="14">
      <x:c r="A14" s="36" t="str">
        <x:v>CUST-006</x:v>
      </x:c>
      <x:c r="B14" s="38"/>
      <x:c r="C14" s="36"/>
      <x:c r="D14" s="36"/>
      <x:c r="E14" s="36"/>
      <x:c r="F14" s="36"/>
      <x:c r="G14" s="36"/>
      <x:c r="H14" s="36"/>
      <x:c r="I14" s="36"/>
      <x:c r="J14" s="48" t="str">
        <x:f>IF(COUNTA(B14:I14)&lt;8,"",ROUND('Model Parameters'!$G$2+'Model Parameters'!$G$5*((B14-'Model Parameters'!$G$3)/'Model Parameters'!$G$4)+'Model Parameters'!$G$6*IF(C14="Yes",1,0)+SUMIFS('Model Parameters'!$C$2:$C$46,'Model Parameters'!$A$2:$A$46,"entry_product",'Model Parameters'!$B$2:$B$46,D14)+SUMIFS('Model Parameters'!$C$2:$C$46,'Model Parameters'!$A$2:$A$46,"sales_channel",'Model Parameters'!$B$2:$B$46,E14)+SUMIFS('Model Parameters'!$C$2:$C$46,'Model Parameters'!$A$2:$A$46,"gender",'Model Parameters'!$B$2:$B$46,F14)+SUMIFS('Model Parameters'!$C$2:$C$46,'Model Parameters'!$A$2:$A$46,"education",'Model Parameters'!$B$2:$B$46,G14)+SUMIFS('Model Parameters'!$C$2:$C$46,'Model Parameters'!$A$2:$A$46,"purchase_month",'Model Parameters'!$B$2:$B$46,TEXT(H14,"0"))+SUMIFS('Model Parameters'!$C$2:$C$46,'Model Parameters'!$A$2:$A$46,"purchase_day_of_week",'Model Parameters'!$B$2:$B$46,I14),2))</x:f>
      </x:c>
      <x:c r="K14" s="48" t="str">
        <x:f>IF(B14="","",'Model Parameters'!$G$5*((B14-'Model Parameters'!$G$3)/'Model Parameters'!$G$4))</x:f>
      </x:c>
      <x:c r="L14" s="48" t="str">
        <x:f>IF(C14="","",'Model Parameters'!$G$6*IF(C14="Yes",1,0))</x:f>
      </x:c>
      <x:c r="M14" s="48" t="str">
        <x:f>IF(D14="","",SUMIFS('Model Parameters'!$C$2:$C$46,'Model Parameters'!$A$2:$A$46,"entry_product",'Model Parameters'!$B$2:$B$46,D14))</x:f>
      </x:c>
      <x:c r="N14" s="48" t="str">
        <x:f>IF(E14="","",SUMIFS('Model Parameters'!$C$2:$C$46,'Model Parameters'!$A$2:$A$46,"sales_channel",'Model Parameters'!$B$2:$B$46,E14))</x:f>
      </x:c>
      <x:c r="O14" s="48" t="str">
        <x:f>IF(F14="","",SUMIFS('Model Parameters'!$C$2:$C$46,'Model Parameters'!$A$2:$A$46,"gender",'Model Parameters'!$B$2:$B$46,F14))</x:f>
      </x:c>
      <x:c r="P14" s="48" t="str">
        <x:f>IF(G14="","",SUMIFS('Model Parameters'!$C$2:$C$46,'Model Parameters'!$A$2:$A$46,"education",'Model Parameters'!$B$2:$B$46,G14))</x:f>
      </x:c>
      <x:c r="Q14" s="48" t="str">
        <x:f>IF(H14="","",SUMIFS('Model Parameters'!$C$2:$C$46,'Model Parameters'!$A$2:$A$46,"purchase_month",'Model Parameters'!$B$2:$B$46,TEXT(H14,"0")))</x:f>
      </x:c>
      <x:c r="R14" s="48" t="str">
        <x:f>IF(I14="","",SUMIFS('Model Parameters'!$C$2:$C$46,'Model Parameters'!$A$2:$A$46,"purchase_day_of_week",'Model Parameters'!$B$2:$B$46,I14))</x:f>
      </x:c>
      <x:c r="S14" t="str">
        <x:f>IF(COUNTA(B14:I14)=0,"Waiting for input",IF(COUNTA(B14:I14)&lt;8,"Incomplete","Calculated"))</x:f>
        <x:v>Waiting for input</x:v>
      </x:c>
    </x:row>
    <x:row r="15">
      <x:c r="A15" s="36" t="str">
        <x:v>CUST-007</x:v>
      </x:c>
      <x:c r="B15" s="38"/>
      <x:c r="C15" s="36"/>
      <x:c r="D15" s="36"/>
      <x:c r="E15" s="36"/>
      <x:c r="F15" s="36"/>
      <x:c r="G15" s="36"/>
      <x:c r="H15" s="36"/>
      <x:c r="I15" s="36"/>
      <x:c r="J15" s="48" t="str">
        <x:f>IF(COUNTA(B15:I15)&lt;8,"",ROUND('Model Parameters'!$G$2+'Model Parameters'!$G$5*((B15-'Model Parameters'!$G$3)/'Model Parameters'!$G$4)+'Model Parameters'!$G$6*IF(C15="Yes",1,0)+SUMIFS('Model Parameters'!$C$2:$C$46,'Model Parameters'!$A$2:$A$46,"entry_product",'Model Parameters'!$B$2:$B$46,D15)+SUMIFS('Model Parameters'!$C$2:$C$46,'Model Parameters'!$A$2:$A$46,"sales_channel",'Model Parameters'!$B$2:$B$46,E15)+SUMIFS('Model Parameters'!$C$2:$C$46,'Model Parameters'!$A$2:$A$46,"gender",'Model Parameters'!$B$2:$B$46,F15)+SUMIFS('Model Parameters'!$C$2:$C$46,'Model Parameters'!$A$2:$A$46,"education",'Model Parameters'!$B$2:$B$46,G15)+SUMIFS('Model Parameters'!$C$2:$C$46,'Model Parameters'!$A$2:$A$46,"purchase_month",'Model Parameters'!$B$2:$B$46,TEXT(H15,"0"))+SUMIFS('Model Parameters'!$C$2:$C$46,'Model Parameters'!$A$2:$A$46,"purchase_day_of_week",'Model Parameters'!$B$2:$B$46,I15),2))</x:f>
      </x:c>
      <x:c r="K15" s="48" t="str">
        <x:f>IF(B15="","",'Model Parameters'!$G$5*((B15-'Model Parameters'!$G$3)/'Model Parameters'!$G$4))</x:f>
      </x:c>
      <x:c r="L15" s="48" t="str">
        <x:f>IF(C15="","",'Model Parameters'!$G$6*IF(C15="Yes",1,0))</x:f>
      </x:c>
      <x:c r="M15" s="48" t="str">
        <x:f>IF(D15="","",SUMIFS('Model Parameters'!$C$2:$C$46,'Model Parameters'!$A$2:$A$46,"entry_product",'Model Parameters'!$B$2:$B$46,D15))</x:f>
      </x:c>
      <x:c r="N15" s="48" t="str">
        <x:f>IF(E15="","",SUMIFS('Model Parameters'!$C$2:$C$46,'Model Parameters'!$A$2:$A$46,"sales_channel",'Model Parameters'!$B$2:$B$46,E15))</x:f>
      </x:c>
      <x:c r="O15" s="48" t="str">
        <x:f>IF(F15="","",SUMIFS('Model Parameters'!$C$2:$C$46,'Model Parameters'!$A$2:$A$46,"gender",'Model Parameters'!$B$2:$B$46,F15))</x:f>
      </x:c>
      <x:c r="P15" s="48" t="str">
        <x:f>IF(G15="","",SUMIFS('Model Parameters'!$C$2:$C$46,'Model Parameters'!$A$2:$A$46,"education",'Model Parameters'!$B$2:$B$46,G15))</x:f>
      </x:c>
      <x:c r="Q15" s="48" t="str">
        <x:f>IF(H15="","",SUMIFS('Model Parameters'!$C$2:$C$46,'Model Parameters'!$A$2:$A$46,"purchase_month",'Model Parameters'!$B$2:$B$46,TEXT(H15,"0")))</x:f>
      </x:c>
      <x:c r="R15" s="48" t="str">
        <x:f>IF(I15="","",SUMIFS('Model Parameters'!$C$2:$C$46,'Model Parameters'!$A$2:$A$46,"purchase_day_of_week",'Model Parameters'!$B$2:$B$46,I15))</x:f>
      </x:c>
      <x:c r="S15" t="str">
        <x:f>IF(COUNTA(B15:I15)=0,"Waiting for input",IF(COUNTA(B15:I15)&lt;8,"Incomplete","Calculated"))</x:f>
        <x:v>Waiting for input</x:v>
      </x:c>
    </x:row>
    <x:row r="16">
      <x:c r="A16" s="36" t="str">
        <x:v>CUST-008</x:v>
      </x:c>
      <x:c r="B16" s="38"/>
      <x:c r="C16" s="36"/>
      <x:c r="D16" s="36"/>
      <x:c r="E16" s="36"/>
      <x:c r="F16" s="36"/>
      <x:c r="G16" s="36"/>
      <x:c r="H16" s="36"/>
      <x:c r="I16" s="36"/>
      <x:c r="J16" s="48" t="str">
        <x:f>IF(COUNTA(B16:I16)&lt;8,"",ROUND('Model Parameters'!$G$2+'Model Parameters'!$G$5*((B16-'Model Parameters'!$G$3)/'Model Parameters'!$G$4)+'Model Parameters'!$G$6*IF(C16="Yes",1,0)+SUMIFS('Model Parameters'!$C$2:$C$46,'Model Parameters'!$A$2:$A$46,"entry_product",'Model Parameters'!$B$2:$B$46,D16)+SUMIFS('Model Parameters'!$C$2:$C$46,'Model Parameters'!$A$2:$A$46,"sales_channel",'Model Parameters'!$B$2:$B$46,E16)+SUMIFS('Model Parameters'!$C$2:$C$46,'Model Parameters'!$A$2:$A$46,"gender",'Model Parameters'!$B$2:$B$46,F16)+SUMIFS('Model Parameters'!$C$2:$C$46,'Model Parameters'!$A$2:$A$46,"education",'Model Parameters'!$B$2:$B$46,G16)+SUMIFS('Model Parameters'!$C$2:$C$46,'Model Parameters'!$A$2:$A$46,"purchase_month",'Model Parameters'!$B$2:$B$46,TEXT(H16,"0"))+SUMIFS('Model Parameters'!$C$2:$C$46,'Model Parameters'!$A$2:$A$46,"purchase_day_of_week",'Model Parameters'!$B$2:$B$46,I16),2))</x:f>
      </x:c>
      <x:c r="K16" s="48" t="str">
        <x:f>IF(B16="","",'Model Parameters'!$G$5*((B16-'Model Parameters'!$G$3)/'Model Parameters'!$G$4))</x:f>
      </x:c>
      <x:c r="L16" s="48" t="str">
        <x:f>IF(C16="","",'Model Parameters'!$G$6*IF(C16="Yes",1,0))</x:f>
      </x:c>
      <x:c r="M16" s="48" t="str">
        <x:f>IF(D16="","",SUMIFS('Model Parameters'!$C$2:$C$46,'Model Parameters'!$A$2:$A$46,"entry_product",'Model Parameters'!$B$2:$B$46,D16))</x:f>
      </x:c>
      <x:c r="N16" s="48" t="str">
        <x:f>IF(E16="","",SUMIFS('Model Parameters'!$C$2:$C$46,'Model Parameters'!$A$2:$A$46,"sales_channel",'Model Parameters'!$B$2:$B$46,E16))</x:f>
      </x:c>
      <x:c r="O16" s="48" t="str">
        <x:f>IF(F16="","",SUMIFS('Model Parameters'!$C$2:$C$46,'Model Parameters'!$A$2:$A$46,"gender",'Model Parameters'!$B$2:$B$46,F16))</x:f>
      </x:c>
      <x:c r="P16" s="48" t="str">
        <x:f>IF(G16="","",SUMIFS('Model Parameters'!$C$2:$C$46,'Model Parameters'!$A$2:$A$46,"education",'Model Parameters'!$B$2:$B$46,G16))</x:f>
      </x:c>
      <x:c r="Q16" s="48" t="str">
        <x:f>IF(H16="","",SUMIFS('Model Parameters'!$C$2:$C$46,'Model Parameters'!$A$2:$A$46,"purchase_month",'Model Parameters'!$B$2:$B$46,TEXT(H16,"0")))</x:f>
      </x:c>
      <x:c r="R16" s="48" t="str">
        <x:f>IF(I16="","",SUMIFS('Model Parameters'!$C$2:$C$46,'Model Parameters'!$A$2:$A$46,"purchase_day_of_week",'Model Parameters'!$B$2:$B$46,I16))</x:f>
      </x:c>
      <x:c r="S16" t="str">
        <x:f>IF(COUNTA(B16:I16)=0,"Waiting for input",IF(COUNTA(B16:I16)&lt;8,"Incomplete","Calculated"))</x:f>
        <x:v>Waiting for input</x:v>
      </x:c>
    </x:row>
    <x:row r="17">
      <x:c r="A17" s="36" t="str">
        <x:v>CUST-009</x:v>
      </x:c>
      <x:c r="B17" s="38"/>
      <x:c r="C17" s="36"/>
      <x:c r="D17" s="36"/>
      <x:c r="E17" s="36"/>
      <x:c r="F17" s="36"/>
      <x:c r="G17" s="36"/>
      <x:c r="H17" s="36"/>
      <x:c r="I17" s="36"/>
      <x:c r="J17" s="48" t="str">
        <x:f>IF(COUNTA(B17:I17)&lt;8,"",ROUND('Model Parameters'!$G$2+'Model Parameters'!$G$5*((B17-'Model Parameters'!$G$3)/'Model Parameters'!$G$4)+'Model Parameters'!$G$6*IF(C17="Yes",1,0)+SUMIFS('Model Parameters'!$C$2:$C$46,'Model Parameters'!$A$2:$A$46,"entry_product",'Model Parameters'!$B$2:$B$46,D17)+SUMIFS('Model Parameters'!$C$2:$C$46,'Model Parameters'!$A$2:$A$46,"sales_channel",'Model Parameters'!$B$2:$B$46,E17)+SUMIFS('Model Parameters'!$C$2:$C$46,'Model Parameters'!$A$2:$A$46,"gender",'Model Parameters'!$B$2:$B$46,F17)+SUMIFS('Model Parameters'!$C$2:$C$46,'Model Parameters'!$A$2:$A$46,"education",'Model Parameters'!$B$2:$B$46,G17)+SUMIFS('Model Parameters'!$C$2:$C$46,'Model Parameters'!$A$2:$A$46,"purchase_month",'Model Parameters'!$B$2:$B$46,TEXT(H17,"0"))+SUMIFS('Model Parameters'!$C$2:$C$46,'Model Parameters'!$A$2:$A$46,"purchase_day_of_week",'Model Parameters'!$B$2:$B$46,I17),2))</x:f>
      </x:c>
      <x:c r="K17" s="48" t="str">
        <x:f>IF(B17="","",'Model Parameters'!$G$5*((B17-'Model Parameters'!$G$3)/'Model Parameters'!$G$4))</x:f>
      </x:c>
      <x:c r="L17" s="48" t="str">
        <x:f>IF(C17="","",'Model Parameters'!$G$6*IF(C17="Yes",1,0))</x:f>
      </x:c>
      <x:c r="M17" s="48" t="str">
        <x:f>IF(D17="","",SUMIFS('Model Parameters'!$C$2:$C$46,'Model Parameters'!$A$2:$A$46,"entry_product",'Model Parameters'!$B$2:$B$46,D17))</x:f>
      </x:c>
      <x:c r="N17" s="48" t="str">
        <x:f>IF(E17="","",SUMIFS('Model Parameters'!$C$2:$C$46,'Model Parameters'!$A$2:$A$46,"sales_channel",'Model Parameters'!$B$2:$B$46,E17))</x:f>
      </x:c>
      <x:c r="O17" s="48" t="str">
        <x:f>IF(F17="","",SUMIFS('Model Parameters'!$C$2:$C$46,'Model Parameters'!$A$2:$A$46,"gender",'Model Parameters'!$B$2:$B$46,F17))</x:f>
      </x:c>
      <x:c r="P17" s="48" t="str">
        <x:f>IF(G17="","",SUMIFS('Model Parameters'!$C$2:$C$46,'Model Parameters'!$A$2:$A$46,"education",'Model Parameters'!$B$2:$B$46,G17))</x:f>
      </x:c>
      <x:c r="Q17" s="48" t="str">
        <x:f>IF(H17="","",SUMIFS('Model Parameters'!$C$2:$C$46,'Model Parameters'!$A$2:$A$46,"purchase_month",'Model Parameters'!$B$2:$B$46,TEXT(H17,"0")))</x:f>
      </x:c>
      <x:c r="R17" s="48" t="str">
        <x:f>IF(I17="","",SUMIFS('Model Parameters'!$C$2:$C$46,'Model Parameters'!$A$2:$A$46,"purchase_day_of_week",'Model Parameters'!$B$2:$B$46,I17))</x:f>
      </x:c>
      <x:c r="S17" t="str">
        <x:f>IF(COUNTA(B17:I17)=0,"Waiting for input",IF(COUNTA(B17:I17)&lt;8,"Incomplete","Calculated"))</x:f>
        <x:v>Waiting for input</x:v>
      </x:c>
    </x:row>
    <x:row r="18">
      <x:c r="A18" s="36" t="str">
        <x:v>CUST-010</x:v>
      </x:c>
      <x:c r="B18" s="38"/>
      <x:c r="C18" s="36"/>
      <x:c r="D18" s="36"/>
      <x:c r="E18" s="36"/>
      <x:c r="F18" s="36"/>
      <x:c r="G18" s="36"/>
      <x:c r="H18" s="36"/>
      <x:c r="I18" s="36"/>
      <x:c r="J18" s="48" t="str">
        <x:f>IF(COUNTA(B18:I18)&lt;8,"",ROUND('Model Parameters'!$G$2+'Model Parameters'!$G$5*((B18-'Model Parameters'!$G$3)/'Model Parameters'!$G$4)+'Model Parameters'!$G$6*IF(C18="Yes",1,0)+SUMIFS('Model Parameters'!$C$2:$C$46,'Model Parameters'!$A$2:$A$46,"entry_product",'Model Parameters'!$B$2:$B$46,D18)+SUMIFS('Model Parameters'!$C$2:$C$46,'Model Parameters'!$A$2:$A$46,"sales_channel",'Model Parameters'!$B$2:$B$46,E18)+SUMIFS('Model Parameters'!$C$2:$C$46,'Model Parameters'!$A$2:$A$46,"gender",'Model Parameters'!$B$2:$B$46,F18)+SUMIFS('Model Parameters'!$C$2:$C$46,'Model Parameters'!$A$2:$A$46,"education",'Model Parameters'!$B$2:$B$46,G18)+SUMIFS('Model Parameters'!$C$2:$C$46,'Model Parameters'!$A$2:$A$46,"purchase_month",'Model Parameters'!$B$2:$B$46,TEXT(H18,"0"))+SUMIFS('Model Parameters'!$C$2:$C$46,'Model Parameters'!$A$2:$A$46,"purchase_day_of_week",'Model Parameters'!$B$2:$B$46,I18),2))</x:f>
      </x:c>
      <x:c r="K18" s="48" t="str">
        <x:f>IF(B18="","",'Model Parameters'!$G$5*((B18-'Model Parameters'!$G$3)/'Model Parameters'!$G$4))</x:f>
      </x:c>
      <x:c r="L18" s="48" t="str">
        <x:f>IF(C18="","",'Model Parameters'!$G$6*IF(C18="Yes",1,0))</x:f>
      </x:c>
      <x:c r="M18" s="48" t="str">
        <x:f>IF(D18="","",SUMIFS('Model Parameters'!$C$2:$C$46,'Model Parameters'!$A$2:$A$46,"entry_product",'Model Parameters'!$B$2:$B$46,D18))</x:f>
      </x:c>
      <x:c r="N18" s="48" t="str">
        <x:f>IF(E18="","",SUMIFS('Model Parameters'!$C$2:$C$46,'Model Parameters'!$A$2:$A$46,"sales_channel",'Model Parameters'!$B$2:$B$46,E18))</x:f>
      </x:c>
      <x:c r="O18" s="48" t="str">
        <x:f>IF(F18="","",SUMIFS('Model Parameters'!$C$2:$C$46,'Model Parameters'!$A$2:$A$46,"gender",'Model Parameters'!$B$2:$B$46,F18))</x:f>
      </x:c>
      <x:c r="P18" s="48" t="str">
        <x:f>IF(G18="","",SUMIFS('Model Parameters'!$C$2:$C$46,'Model Parameters'!$A$2:$A$46,"education",'Model Parameters'!$B$2:$B$46,G18))</x:f>
      </x:c>
      <x:c r="Q18" s="48" t="str">
        <x:f>IF(H18="","",SUMIFS('Model Parameters'!$C$2:$C$46,'Model Parameters'!$A$2:$A$46,"purchase_month",'Model Parameters'!$B$2:$B$46,TEXT(H18,"0")))</x:f>
      </x:c>
      <x:c r="R18" s="48" t="str">
        <x:f>IF(I18="","",SUMIFS('Model Parameters'!$C$2:$C$46,'Model Parameters'!$A$2:$A$46,"purchase_day_of_week",'Model Parameters'!$B$2:$B$46,I18))</x:f>
      </x:c>
      <x:c r="S18" t="str">
        <x:f>IF(COUNTA(B18:I18)=0,"Waiting for input",IF(COUNTA(B18:I18)&lt;8,"Incomplete","Calculated"))</x:f>
        <x:v>Waiting for input</x:v>
      </x:c>
    </x:row>
    <x:row r="19">
      <x:c r="A19" s="36" t="str">
        <x:v>CUST-011</x:v>
      </x:c>
      <x:c r="B19" s="38"/>
      <x:c r="C19" s="36"/>
      <x:c r="D19" s="36"/>
      <x:c r="E19" s="36"/>
      <x:c r="F19" s="36"/>
      <x:c r="G19" s="36"/>
      <x:c r="H19" s="36"/>
      <x:c r="I19" s="36"/>
      <x:c r="J19" s="48" t="str">
        <x:f>IF(COUNTA(B19:I19)&lt;8,"",ROUND('Model Parameters'!$G$2+'Model Parameters'!$G$5*((B19-'Model Parameters'!$G$3)/'Model Parameters'!$G$4)+'Model Parameters'!$G$6*IF(C19="Yes",1,0)+SUMIFS('Model Parameters'!$C$2:$C$46,'Model Parameters'!$A$2:$A$46,"entry_product",'Model Parameters'!$B$2:$B$46,D19)+SUMIFS('Model Parameters'!$C$2:$C$46,'Model Parameters'!$A$2:$A$46,"sales_channel",'Model Parameters'!$B$2:$B$46,E19)+SUMIFS('Model Parameters'!$C$2:$C$46,'Model Parameters'!$A$2:$A$46,"gender",'Model Parameters'!$B$2:$B$46,F19)+SUMIFS('Model Parameters'!$C$2:$C$46,'Model Parameters'!$A$2:$A$46,"education",'Model Parameters'!$B$2:$B$46,G19)+SUMIFS('Model Parameters'!$C$2:$C$46,'Model Parameters'!$A$2:$A$46,"purchase_month",'Model Parameters'!$B$2:$B$46,TEXT(H19,"0"))+SUMIFS('Model Parameters'!$C$2:$C$46,'Model Parameters'!$A$2:$A$46,"purchase_day_of_week",'Model Parameters'!$B$2:$B$46,I19),2))</x:f>
      </x:c>
      <x:c r="K19" s="48" t="str">
        <x:f>IF(B19="","",'Model Parameters'!$G$5*((B19-'Model Parameters'!$G$3)/'Model Parameters'!$G$4))</x:f>
      </x:c>
      <x:c r="L19" s="48" t="str">
        <x:f>IF(C19="","",'Model Parameters'!$G$6*IF(C19="Yes",1,0))</x:f>
      </x:c>
      <x:c r="M19" s="48" t="str">
        <x:f>IF(D19="","",SUMIFS('Model Parameters'!$C$2:$C$46,'Model Parameters'!$A$2:$A$46,"entry_product",'Model Parameters'!$B$2:$B$46,D19))</x:f>
      </x:c>
      <x:c r="N19" s="48" t="str">
        <x:f>IF(E19="","",SUMIFS('Model Parameters'!$C$2:$C$46,'Model Parameters'!$A$2:$A$46,"sales_channel",'Model Parameters'!$B$2:$B$46,E19))</x:f>
      </x:c>
      <x:c r="O19" s="48" t="str">
        <x:f>IF(F19="","",SUMIFS('Model Parameters'!$C$2:$C$46,'Model Parameters'!$A$2:$A$46,"gender",'Model Parameters'!$B$2:$B$46,F19))</x:f>
      </x:c>
      <x:c r="P19" s="48" t="str">
        <x:f>IF(G19="","",SUMIFS('Model Parameters'!$C$2:$C$46,'Model Parameters'!$A$2:$A$46,"education",'Model Parameters'!$B$2:$B$46,G19))</x:f>
      </x:c>
      <x:c r="Q19" s="48" t="str">
        <x:f>IF(H19="","",SUMIFS('Model Parameters'!$C$2:$C$46,'Model Parameters'!$A$2:$A$46,"purchase_month",'Model Parameters'!$B$2:$B$46,TEXT(H19,"0")))</x:f>
      </x:c>
      <x:c r="R19" s="48" t="str">
        <x:f>IF(I19="","",SUMIFS('Model Parameters'!$C$2:$C$46,'Model Parameters'!$A$2:$A$46,"purchase_day_of_week",'Model Parameters'!$B$2:$B$46,I19))</x:f>
      </x:c>
      <x:c r="S19" t="str">
        <x:f>IF(COUNTA(B19:I19)=0,"Waiting for input",IF(COUNTA(B19:I19)&lt;8,"Incomplete","Calculated"))</x:f>
        <x:v>Waiting for input</x:v>
      </x:c>
    </x:row>
    <x:row r="20">
      <x:c r="A20" s="36" t="str">
        <x:v>CUST-012</x:v>
      </x:c>
      <x:c r="B20" s="38"/>
      <x:c r="C20" s="36"/>
      <x:c r="D20" s="36"/>
      <x:c r="E20" s="36"/>
      <x:c r="F20" s="36"/>
      <x:c r="G20" s="36"/>
      <x:c r="H20" s="36"/>
      <x:c r="I20" s="36"/>
      <x:c r="J20" s="48" t="str">
        <x:f>IF(COUNTA(B20:I20)&lt;8,"",ROUND('Model Parameters'!$G$2+'Model Parameters'!$G$5*((B20-'Model Parameters'!$G$3)/'Model Parameters'!$G$4)+'Model Parameters'!$G$6*IF(C20="Yes",1,0)+SUMIFS('Model Parameters'!$C$2:$C$46,'Model Parameters'!$A$2:$A$46,"entry_product",'Model Parameters'!$B$2:$B$46,D20)+SUMIFS('Model Parameters'!$C$2:$C$46,'Model Parameters'!$A$2:$A$46,"sales_channel",'Model Parameters'!$B$2:$B$46,E20)+SUMIFS('Model Parameters'!$C$2:$C$46,'Model Parameters'!$A$2:$A$46,"gender",'Model Parameters'!$B$2:$B$46,F20)+SUMIFS('Model Parameters'!$C$2:$C$46,'Model Parameters'!$A$2:$A$46,"education",'Model Parameters'!$B$2:$B$46,G20)+SUMIFS('Model Parameters'!$C$2:$C$46,'Model Parameters'!$A$2:$A$46,"purchase_month",'Model Parameters'!$B$2:$B$46,TEXT(H20,"0"))+SUMIFS('Model Parameters'!$C$2:$C$46,'Model Parameters'!$A$2:$A$46,"purchase_day_of_week",'Model Parameters'!$B$2:$B$46,I20),2))</x:f>
      </x:c>
      <x:c r="K20" s="48" t="str">
        <x:f>IF(B20="","",'Model Parameters'!$G$5*((B20-'Model Parameters'!$G$3)/'Model Parameters'!$G$4))</x:f>
      </x:c>
      <x:c r="L20" s="48" t="str">
        <x:f>IF(C20="","",'Model Parameters'!$G$6*IF(C20="Yes",1,0))</x:f>
      </x:c>
      <x:c r="M20" s="48" t="str">
        <x:f>IF(D20="","",SUMIFS('Model Parameters'!$C$2:$C$46,'Model Parameters'!$A$2:$A$46,"entry_product",'Model Parameters'!$B$2:$B$46,D20))</x:f>
      </x:c>
      <x:c r="N20" s="48" t="str">
        <x:f>IF(E20="","",SUMIFS('Model Parameters'!$C$2:$C$46,'Model Parameters'!$A$2:$A$46,"sales_channel",'Model Parameters'!$B$2:$B$46,E20))</x:f>
      </x:c>
      <x:c r="O20" s="48" t="str">
        <x:f>IF(F20="","",SUMIFS('Model Parameters'!$C$2:$C$46,'Model Parameters'!$A$2:$A$46,"gender",'Model Parameters'!$B$2:$B$46,F20))</x:f>
      </x:c>
      <x:c r="P20" s="48" t="str">
        <x:f>IF(G20="","",SUMIFS('Model Parameters'!$C$2:$C$46,'Model Parameters'!$A$2:$A$46,"education",'Model Parameters'!$B$2:$B$46,G20))</x:f>
      </x:c>
      <x:c r="Q20" s="48" t="str">
        <x:f>IF(H20="","",SUMIFS('Model Parameters'!$C$2:$C$46,'Model Parameters'!$A$2:$A$46,"purchase_month",'Model Parameters'!$B$2:$B$46,TEXT(H20,"0")))</x:f>
      </x:c>
      <x:c r="R20" s="48" t="str">
        <x:f>IF(I20="","",SUMIFS('Model Parameters'!$C$2:$C$46,'Model Parameters'!$A$2:$A$46,"purchase_day_of_week",'Model Parameters'!$B$2:$B$46,I20))</x:f>
      </x:c>
      <x:c r="S20" t="str">
        <x:f>IF(COUNTA(B20:I20)=0,"Waiting for input",IF(COUNTA(B20:I20)&lt;8,"Incomplete","Calculated"))</x:f>
        <x:v>Waiting for input</x:v>
      </x:c>
    </x:row>
    <x:row r="21">
      <x:c r="A21" s="36" t="str">
        <x:v>CUST-013</x:v>
      </x:c>
      <x:c r="B21" s="38"/>
      <x:c r="C21" s="36"/>
      <x:c r="D21" s="36"/>
      <x:c r="E21" s="36"/>
      <x:c r="F21" s="36"/>
      <x:c r="G21" s="36"/>
      <x:c r="H21" s="36"/>
      <x:c r="I21" s="36"/>
      <x:c r="J21" s="48" t="str">
        <x:f>IF(COUNTA(B21:I21)&lt;8,"",ROUND('Model Parameters'!$G$2+'Model Parameters'!$G$5*((B21-'Model Parameters'!$G$3)/'Model Parameters'!$G$4)+'Model Parameters'!$G$6*IF(C21="Yes",1,0)+SUMIFS('Model Parameters'!$C$2:$C$46,'Model Parameters'!$A$2:$A$46,"entry_product",'Model Parameters'!$B$2:$B$46,D21)+SUMIFS('Model Parameters'!$C$2:$C$46,'Model Parameters'!$A$2:$A$46,"sales_channel",'Model Parameters'!$B$2:$B$46,E21)+SUMIFS('Model Parameters'!$C$2:$C$46,'Model Parameters'!$A$2:$A$46,"gender",'Model Parameters'!$B$2:$B$46,F21)+SUMIFS('Model Parameters'!$C$2:$C$46,'Model Parameters'!$A$2:$A$46,"education",'Model Parameters'!$B$2:$B$46,G21)+SUMIFS('Model Parameters'!$C$2:$C$46,'Model Parameters'!$A$2:$A$46,"purchase_month",'Model Parameters'!$B$2:$B$46,TEXT(H21,"0"))+SUMIFS('Model Parameters'!$C$2:$C$46,'Model Parameters'!$A$2:$A$46,"purchase_day_of_week",'Model Parameters'!$B$2:$B$46,I21),2))</x:f>
      </x:c>
      <x:c r="K21" s="48" t="str">
        <x:f>IF(B21="","",'Model Parameters'!$G$5*((B21-'Model Parameters'!$G$3)/'Model Parameters'!$G$4))</x:f>
      </x:c>
      <x:c r="L21" s="48" t="str">
        <x:f>IF(C21="","",'Model Parameters'!$G$6*IF(C21="Yes",1,0))</x:f>
      </x:c>
      <x:c r="M21" s="48" t="str">
        <x:f>IF(D21="","",SUMIFS('Model Parameters'!$C$2:$C$46,'Model Parameters'!$A$2:$A$46,"entry_product",'Model Parameters'!$B$2:$B$46,D21))</x:f>
      </x:c>
      <x:c r="N21" s="48" t="str">
        <x:f>IF(E21="","",SUMIFS('Model Parameters'!$C$2:$C$46,'Model Parameters'!$A$2:$A$46,"sales_channel",'Model Parameters'!$B$2:$B$46,E21))</x:f>
      </x:c>
      <x:c r="O21" s="48" t="str">
        <x:f>IF(F21="","",SUMIFS('Model Parameters'!$C$2:$C$46,'Model Parameters'!$A$2:$A$46,"gender",'Model Parameters'!$B$2:$B$46,F21))</x:f>
      </x:c>
      <x:c r="P21" s="48" t="str">
        <x:f>IF(G21="","",SUMIFS('Model Parameters'!$C$2:$C$46,'Model Parameters'!$A$2:$A$46,"education",'Model Parameters'!$B$2:$B$46,G21))</x:f>
      </x:c>
      <x:c r="Q21" s="48" t="str">
        <x:f>IF(H21="","",SUMIFS('Model Parameters'!$C$2:$C$46,'Model Parameters'!$A$2:$A$46,"purchase_month",'Model Parameters'!$B$2:$B$46,TEXT(H21,"0")))</x:f>
      </x:c>
      <x:c r="R21" s="48" t="str">
        <x:f>IF(I21="","",SUMIFS('Model Parameters'!$C$2:$C$46,'Model Parameters'!$A$2:$A$46,"purchase_day_of_week",'Model Parameters'!$B$2:$B$46,I21))</x:f>
      </x:c>
      <x:c r="S21" t="str">
        <x:f>IF(COUNTA(B21:I21)=0,"Waiting for input",IF(COUNTA(B21:I21)&lt;8,"Incomplete","Calculated"))</x:f>
        <x:v>Waiting for input</x:v>
      </x:c>
    </x:row>
    <x:row r="22">
      <x:c r="A22" s="36" t="str">
        <x:v>CUST-014</x:v>
      </x:c>
      <x:c r="B22" s="38"/>
      <x:c r="C22" s="36"/>
      <x:c r="D22" s="36"/>
      <x:c r="E22" s="36"/>
      <x:c r="F22" s="36"/>
      <x:c r="G22" s="36"/>
      <x:c r="H22" s="36"/>
      <x:c r="I22" s="36"/>
      <x:c r="J22" s="48" t="str">
        <x:f>IF(COUNTA(B22:I22)&lt;8,"",ROUND('Model Parameters'!$G$2+'Model Parameters'!$G$5*((B22-'Model Parameters'!$G$3)/'Model Parameters'!$G$4)+'Model Parameters'!$G$6*IF(C22="Yes",1,0)+SUMIFS('Model Parameters'!$C$2:$C$46,'Model Parameters'!$A$2:$A$46,"entry_product",'Model Parameters'!$B$2:$B$46,D22)+SUMIFS('Model Parameters'!$C$2:$C$46,'Model Parameters'!$A$2:$A$46,"sales_channel",'Model Parameters'!$B$2:$B$46,E22)+SUMIFS('Model Parameters'!$C$2:$C$46,'Model Parameters'!$A$2:$A$46,"gender",'Model Parameters'!$B$2:$B$46,F22)+SUMIFS('Model Parameters'!$C$2:$C$46,'Model Parameters'!$A$2:$A$46,"education",'Model Parameters'!$B$2:$B$46,G22)+SUMIFS('Model Parameters'!$C$2:$C$46,'Model Parameters'!$A$2:$A$46,"purchase_month",'Model Parameters'!$B$2:$B$46,TEXT(H22,"0"))+SUMIFS('Model Parameters'!$C$2:$C$46,'Model Parameters'!$A$2:$A$46,"purchase_day_of_week",'Model Parameters'!$B$2:$B$46,I22),2))</x:f>
      </x:c>
      <x:c r="K22" s="48" t="str">
        <x:f>IF(B22="","",'Model Parameters'!$G$5*((B22-'Model Parameters'!$G$3)/'Model Parameters'!$G$4))</x:f>
      </x:c>
      <x:c r="L22" s="48" t="str">
        <x:f>IF(C22="","",'Model Parameters'!$G$6*IF(C22="Yes",1,0))</x:f>
      </x:c>
      <x:c r="M22" s="48" t="str">
        <x:f>IF(D22="","",SUMIFS('Model Parameters'!$C$2:$C$46,'Model Parameters'!$A$2:$A$46,"entry_product",'Model Parameters'!$B$2:$B$46,D22))</x:f>
      </x:c>
      <x:c r="N22" s="48" t="str">
        <x:f>IF(E22="","",SUMIFS('Model Parameters'!$C$2:$C$46,'Model Parameters'!$A$2:$A$46,"sales_channel",'Model Parameters'!$B$2:$B$46,E22))</x:f>
      </x:c>
      <x:c r="O22" s="48" t="str">
        <x:f>IF(F22="","",SUMIFS('Model Parameters'!$C$2:$C$46,'Model Parameters'!$A$2:$A$46,"gender",'Model Parameters'!$B$2:$B$46,F22))</x:f>
      </x:c>
      <x:c r="P22" s="48" t="str">
        <x:f>IF(G22="","",SUMIFS('Model Parameters'!$C$2:$C$46,'Model Parameters'!$A$2:$A$46,"education",'Model Parameters'!$B$2:$B$46,G22))</x:f>
      </x:c>
      <x:c r="Q22" s="48" t="str">
        <x:f>IF(H22="","",SUMIFS('Model Parameters'!$C$2:$C$46,'Model Parameters'!$A$2:$A$46,"purchase_month",'Model Parameters'!$B$2:$B$46,TEXT(H22,"0")))</x:f>
      </x:c>
      <x:c r="R22" s="48" t="str">
        <x:f>IF(I22="","",SUMIFS('Model Parameters'!$C$2:$C$46,'Model Parameters'!$A$2:$A$46,"purchase_day_of_week",'Model Parameters'!$B$2:$B$46,I22))</x:f>
      </x:c>
      <x:c r="S22" t="str">
        <x:f>IF(COUNTA(B22:I22)=0,"Waiting for input",IF(COUNTA(B22:I22)&lt;8,"Incomplete","Calculated"))</x:f>
        <x:v>Waiting for input</x:v>
      </x:c>
    </x:row>
    <x:row r="23">
      <x:c r="A23" s="36" t="str">
        <x:v>CUST-015</x:v>
      </x:c>
      <x:c r="B23" s="38"/>
      <x:c r="C23" s="36"/>
      <x:c r="D23" s="36"/>
      <x:c r="E23" s="36"/>
      <x:c r="F23" s="36"/>
      <x:c r="G23" s="36"/>
      <x:c r="H23" s="36"/>
      <x:c r="I23" s="36"/>
      <x:c r="J23" s="48" t="str">
        <x:f>IF(COUNTA(B23:I23)&lt;8,"",ROUND('Model Parameters'!$G$2+'Model Parameters'!$G$5*((B23-'Model Parameters'!$G$3)/'Model Parameters'!$G$4)+'Model Parameters'!$G$6*IF(C23="Yes",1,0)+SUMIFS('Model Parameters'!$C$2:$C$46,'Model Parameters'!$A$2:$A$46,"entry_product",'Model Parameters'!$B$2:$B$46,D23)+SUMIFS('Model Parameters'!$C$2:$C$46,'Model Parameters'!$A$2:$A$46,"sales_channel",'Model Parameters'!$B$2:$B$46,E23)+SUMIFS('Model Parameters'!$C$2:$C$46,'Model Parameters'!$A$2:$A$46,"gender",'Model Parameters'!$B$2:$B$46,F23)+SUMIFS('Model Parameters'!$C$2:$C$46,'Model Parameters'!$A$2:$A$46,"education",'Model Parameters'!$B$2:$B$46,G23)+SUMIFS('Model Parameters'!$C$2:$C$46,'Model Parameters'!$A$2:$A$46,"purchase_month",'Model Parameters'!$B$2:$B$46,TEXT(H23,"0"))+SUMIFS('Model Parameters'!$C$2:$C$46,'Model Parameters'!$A$2:$A$46,"purchase_day_of_week",'Model Parameters'!$B$2:$B$46,I23),2))</x:f>
      </x:c>
      <x:c r="K23" s="48" t="str">
        <x:f>IF(B23="","",'Model Parameters'!$G$5*((B23-'Model Parameters'!$G$3)/'Model Parameters'!$G$4))</x:f>
      </x:c>
      <x:c r="L23" s="48" t="str">
        <x:f>IF(C23="","",'Model Parameters'!$G$6*IF(C23="Yes",1,0))</x:f>
      </x:c>
      <x:c r="M23" s="48" t="str">
        <x:f>IF(D23="","",SUMIFS('Model Parameters'!$C$2:$C$46,'Model Parameters'!$A$2:$A$46,"entry_product",'Model Parameters'!$B$2:$B$46,D23))</x:f>
      </x:c>
      <x:c r="N23" s="48" t="str">
        <x:f>IF(E23="","",SUMIFS('Model Parameters'!$C$2:$C$46,'Model Parameters'!$A$2:$A$46,"sales_channel",'Model Parameters'!$B$2:$B$46,E23))</x:f>
      </x:c>
      <x:c r="O23" s="48" t="str">
        <x:f>IF(F23="","",SUMIFS('Model Parameters'!$C$2:$C$46,'Model Parameters'!$A$2:$A$46,"gender",'Model Parameters'!$B$2:$B$46,F23))</x:f>
      </x:c>
      <x:c r="P23" s="48" t="str">
        <x:f>IF(G23="","",SUMIFS('Model Parameters'!$C$2:$C$46,'Model Parameters'!$A$2:$A$46,"education",'Model Parameters'!$B$2:$B$46,G23))</x:f>
      </x:c>
      <x:c r="Q23" s="48" t="str">
        <x:f>IF(H23="","",SUMIFS('Model Parameters'!$C$2:$C$46,'Model Parameters'!$A$2:$A$46,"purchase_month",'Model Parameters'!$B$2:$B$46,TEXT(H23,"0")))</x:f>
      </x:c>
      <x:c r="R23" s="48" t="str">
        <x:f>IF(I23="","",SUMIFS('Model Parameters'!$C$2:$C$46,'Model Parameters'!$A$2:$A$46,"purchase_day_of_week",'Model Parameters'!$B$2:$B$46,I23))</x:f>
      </x:c>
      <x:c r="S23" t="str">
        <x:f>IF(COUNTA(B23:I23)=0,"Waiting for input",IF(COUNTA(B23:I23)&lt;8,"Incomplete","Calculated"))</x:f>
        <x:v>Waiting for input</x:v>
      </x:c>
    </x:row>
    <x:row r="24">
      <x:c r="A24" s="36" t="str">
        <x:v>CUST-016</x:v>
      </x:c>
      <x:c r="B24" s="38"/>
      <x:c r="C24" s="36"/>
      <x:c r="D24" s="36"/>
      <x:c r="E24" s="36"/>
      <x:c r="F24" s="36"/>
      <x:c r="G24" s="36"/>
      <x:c r="H24" s="36"/>
      <x:c r="I24" s="36"/>
      <x:c r="J24" s="48" t="str">
        <x:f>IF(COUNTA(B24:I24)&lt;8,"",ROUND('Model Parameters'!$G$2+'Model Parameters'!$G$5*((B24-'Model Parameters'!$G$3)/'Model Parameters'!$G$4)+'Model Parameters'!$G$6*IF(C24="Yes",1,0)+SUMIFS('Model Parameters'!$C$2:$C$46,'Model Parameters'!$A$2:$A$46,"entry_product",'Model Parameters'!$B$2:$B$46,D24)+SUMIFS('Model Parameters'!$C$2:$C$46,'Model Parameters'!$A$2:$A$46,"sales_channel",'Model Parameters'!$B$2:$B$46,E24)+SUMIFS('Model Parameters'!$C$2:$C$46,'Model Parameters'!$A$2:$A$46,"gender",'Model Parameters'!$B$2:$B$46,F24)+SUMIFS('Model Parameters'!$C$2:$C$46,'Model Parameters'!$A$2:$A$46,"education",'Model Parameters'!$B$2:$B$46,G24)+SUMIFS('Model Parameters'!$C$2:$C$46,'Model Parameters'!$A$2:$A$46,"purchase_month",'Model Parameters'!$B$2:$B$46,TEXT(H24,"0"))+SUMIFS('Model Parameters'!$C$2:$C$46,'Model Parameters'!$A$2:$A$46,"purchase_day_of_week",'Model Parameters'!$B$2:$B$46,I24),2))</x:f>
      </x:c>
      <x:c r="K24" s="48" t="str">
        <x:f>IF(B24="","",'Model Parameters'!$G$5*((B24-'Model Parameters'!$G$3)/'Model Parameters'!$G$4))</x:f>
      </x:c>
      <x:c r="L24" s="48" t="str">
        <x:f>IF(C24="","",'Model Parameters'!$G$6*IF(C24="Yes",1,0))</x:f>
      </x:c>
      <x:c r="M24" s="48" t="str">
        <x:f>IF(D24="","",SUMIFS('Model Parameters'!$C$2:$C$46,'Model Parameters'!$A$2:$A$46,"entry_product",'Model Parameters'!$B$2:$B$46,D24))</x:f>
      </x:c>
      <x:c r="N24" s="48" t="str">
        <x:f>IF(E24="","",SUMIFS('Model Parameters'!$C$2:$C$46,'Model Parameters'!$A$2:$A$46,"sales_channel",'Model Parameters'!$B$2:$B$46,E24))</x:f>
      </x:c>
      <x:c r="O24" s="48" t="str">
        <x:f>IF(F24="","",SUMIFS('Model Parameters'!$C$2:$C$46,'Model Parameters'!$A$2:$A$46,"gender",'Model Parameters'!$B$2:$B$46,F24))</x:f>
      </x:c>
      <x:c r="P24" s="48" t="str">
        <x:f>IF(G24="","",SUMIFS('Model Parameters'!$C$2:$C$46,'Model Parameters'!$A$2:$A$46,"education",'Model Parameters'!$B$2:$B$46,G24))</x:f>
      </x:c>
      <x:c r="Q24" s="48" t="str">
        <x:f>IF(H24="","",SUMIFS('Model Parameters'!$C$2:$C$46,'Model Parameters'!$A$2:$A$46,"purchase_month",'Model Parameters'!$B$2:$B$46,TEXT(H24,"0")))</x:f>
      </x:c>
      <x:c r="R24" s="48" t="str">
        <x:f>IF(I24="","",SUMIFS('Model Parameters'!$C$2:$C$46,'Model Parameters'!$A$2:$A$46,"purchase_day_of_week",'Model Parameters'!$B$2:$B$46,I24))</x:f>
      </x:c>
      <x:c r="S24" t="str">
        <x:f>IF(COUNTA(B24:I24)=0,"Waiting for input",IF(COUNTA(B24:I24)&lt;8,"Incomplete","Calculated"))</x:f>
        <x:v>Waiting for input</x:v>
      </x:c>
    </x:row>
    <x:row r="25">
      <x:c r="A25" s="36" t="str">
        <x:v>CUST-017</x:v>
      </x:c>
      <x:c r="B25" s="38"/>
      <x:c r="C25" s="36"/>
      <x:c r="D25" s="36"/>
      <x:c r="E25" s="36"/>
      <x:c r="F25" s="36"/>
      <x:c r="G25" s="36"/>
      <x:c r="H25" s="36"/>
      <x:c r="I25" s="36"/>
      <x:c r="J25" s="48" t="str">
        <x:f>IF(COUNTA(B25:I25)&lt;8,"",ROUND('Model Parameters'!$G$2+'Model Parameters'!$G$5*((B25-'Model Parameters'!$G$3)/'Model Parameters'!$G$4)+'Model Parameters'!$G$6*IF(C25="Yes",1,0)+SUMIFS('Model Parameters'!$C$2:$C$46,'Model Parameters'!$A$2:$A$46,"entry_product",'Model Parameters'!$B$2:$B$46,D25)+SUMIFS('Model Parameters'!$C$2:$C$46,'Model Parameters'!$A$2:$A$46,"sales_channel",'Model Parameters'!$B$2:$B$46,E25)+SUMIFS('Model Parameters'!$C$2:$C$46,'Model Parameters'!$A$2:$A$46,"gender",'Model Parameters'!$B$2:$B$46,F25)+SUMIFS('Model Parameters'!$C$2:$C$46,'Model Parameters'!$A$2:$A$46,"education",'Model Parameters'!$B$2:$B$46,G25)+SUMIFS('Model Parameters'!$C$2:$C$46,'Model Parameters'!$A$2:$A$46,"purchase_month",'Model Parameters'!$B$2:$B$46,TEXT(H25,"0"))+SUMIFS('Model Parameters'!$C$2:$C$46,'Model Parameters'!$A$2:$A$46,"purchase_day_of_week",'Model Parameters'!$B$2:$B$46,I25),2))</x:f>
      </x:c>
      <x:c r="K25" s="48" t="str">
        <x:f>IF(B25="","",'Model Parameters'!$G$5*((B25-'Model Parameters'!$G$3)/'Model Parameters'!$G$4))</x:f>
      </x:c>
      <x:c r="L25" s="48" t="str">
        <x:f>IF(C25="","",'Model Parameters'!$G$6*IF(C25="Yes",1,0))</x:f>
      </x:c>
      <x:c r="M25" s="48" t="str">
        <x:f>IF(D25="","",SUMIFS('Model Parameters'!$C$2:$C$46,'Model Parameters'!$A$2:$A$46,"entry_product",'Model Parameters'!$B$2:$B$46,D25))</x:f>
      </x:c>
      <x:c r="N25" s="48" t="str">
        <x:f>IF(E25="","",SUMIFS('Model Parameters'!$C$2:$C$46,'Model Parameters'!$A$2:$A$46,"sales_channel",'Model Parameters'!$B$2:$B$46,E25))</x:f>
      </x:c>
      <x:c r="O25" s="48" t="str">
        <x:f>IF(F25="","",SUMIFS('Model Parameters'!$C$2:$C$46,'Model Parameters'!$A$2:$A$46,"gender",'Model Parameters'!$B$2:$B$46,F25))</x:f>
      </x:c>
      <x:c r="P25" s="48" t="str">
        <x:f>IF(G25="","",SUMIFS('Model Parameters'!$C$2:$C$46,'Model Parameters'!$A$2:$A$46,"education",'Model Parameters'!$B$2:$B$46,G25))</x:f>
      </x:c>
      <x:c r="Q25" s="48" t="str">
        <x:f>IF(H25="","",SUMIFS('Model Parameters'!$C$2:$C$46,'Model Parameters'!$A$2:$A$46,"purchase_month",'Model Parameters'!$B$2:$B$46,TEXT(H25,"0")))</x:f>
      </x:c>
      <x:c r="R25" s="48" t="str">
        <x:f>IF(I25="","",SUMIFS('Model Parameters'!$C$2:$C$46,'Model Parameters'!$A$2:$A$46,"purchase_day_of_week",'Model Parameters'!$B$2:$B$46,I25))</x:f>
      </x:c>
      <x:c r="S25" t="str">
        <x:f>IF(COUNTA(B25:I25)=0,"Waiting for input",IF(COUNTA(B25:I25)&lt;8,"Incomplete","Calculated"))</x:f>
        <x:v>Waiting for input</x:v>
      </x:c>
    </x:row>
    <x:row r="26">
      <x:c r="A26" s="36" t="str">
        <x:v>CUST-018</x:v>
      </x:c>
      <x:c r="B26" s="38"/>
      <x:c r="C26" s="36"/>
      <x:c r="D26" s="36"/>
      <x:c r="E26" s="36"/>
      <x:c r="F26" s="36"/>
      <x:c r="G26" s="36"/>
      <x:c r="H26" s="36"/>
      <x:c r="I26" s="36"/>
      <x:c r="J26" s="48" t="str">
        <x:f>IF(COUNTA(B26:I26)&lt;8,"",ROUND('Model Parameters'!$G$2+'Model Parameters'!$G$5*((B26-'Model Parameters'!$G$3)/'Model Parameters'!$G$4)+'Model Parameters'!$G$6*IF(C26="Yes",1,0)+SUMIFS('Model Parameters'!$C$2:$C$46,'Model Parameters'!$A$2:$A$46,"entry_product",'Model Parameters'!$B$2:$B$46,D26)+SUMIFS('Model Parameters'!$C$2:$C$46,'Model Parameters'!$A$2:$A$46,"sales_channel",'Model Parameters'!$B$2:$B$46,E26)+SUMIFS('Model Parameters'!$C$2:$C$46,'Model Parameters'!$A$2:$A$46,"gender",'Model Parameters'!$B$2:$B$46,F26)+SUMIFS('Model Parameters'!$C$2:$C$46,'Model Parameters'!$A$2:$A$46,"education",'Model Parameters'!$B$2:$B$46,G26)+SUMIFS('Model Parameters'!$C$2:$C$46,'Model Parameters'!$A$2:$A$46,"purchase_month",'Model Parameters'!$B$2:$B$46,TEXT(H26,"0"))+SUMIFS('Model Parameters'!$C$2:$C$46,'Model Parameters'!$A$2:$A$46,"purchase_day_of_week",'Model Parameters'!$B$2:$B$46,I26),2))</x:f>
      </x:c>
      <x:c r="K26" s="48" t="str">
        <x:f>IF(B26="","",'Model Parameters'!$G$5*((B26-'Model Parameters'!$G$3)/'Model Parameters'!$G$4))</x:f>
      </x:c>
      <x:c r="L26" s="48" t="str">
        <x:f>IF(C26="","",'Model Parameters'!$G$6*IF(C26="Yes",1,0))</x:f>
      </x:c>
      <x:c r="M26" s="48" t="str">
        <x:f>IF(D26="","",SUMIFS('Model Parameters'!$C$2:$C$46,'Model Parameters'!$A$2:$A$46,"entry_product",'Model Parameters'!$B$2:$B$46,D26))</x:f>
      </x:c>
      <x:c r="N26" s="48" t="str">
        <x:f>IF(E26="","",SUMIFS('Model Parameters'!$C$2:$C$46,'Model Parameters'!$A$2:$A$46,"sales_channel",'Model Parameters'!$B$2:$B$46,E26))</x:f>
      </x:c>
      <x:c r="O26" s="48" t="str">
        <x:f>IF(F26="","",SUMIFS('Model Parameters'!$C$2:$C$46,'Model Parameters'!$A$2:$A$46,"gender",'Model Parameters'!$B$2:$B$46,F26))</x:f>
      </x:c>
      <x:c r="P26" s="48" t="str">
        <x:f>IF(G26="","",SUMIFS('Model Parameters'!$C$2:$C$46,'Model Parameters'!$A$2:$A$46,"education",'Model Parameters'!$B$2:$B$46,G26))</x:f>
      </x:c>
      <x:c r="Q26" s="48" t="str">
        <x:f>IF(H26="","",SUMIFS('Model Parameters'!$C$2:$C$46,'Model Parameters'!$A$2:$A$46,"purchase_month",'Model Parameters'!$B$2:$B$46,TEXT(H26,"0")))</x:f>
      </x:c>
      <x:c r="R26" s="48" t="str">
        <x:f>IF(I26="","",SUMIFS('Model Parameters'!$C$2:$C$46,'Model Parameters'!$A$2:$A$46,"purchase_day_of_week",'Model Parameters'!$B$2:$B$46,I26))</x:f>
      </x:c>
      <x:c r="S26" t="str">
        <x:f>IF(COUNTA(B26:I26)=0,"Waiting for input",IF(COUNTA(B26:I26)&lt;8,"Incomplete","Calculated"))</x:f>
        <x:v>Waiting for input</x:v>
      </x:c>
    </x:row>
    <x:row r="27">
      <x:c r="A27" s="36" t="str">
        <x:v>CUST-019</x:v>
      </x:c>
      <x:c r="B27" s="38"/>
      <x:c r="C27" s="36"/>
      <x:c r="D27" s="36"/>
      <x:c r="E27" s="36"/>
      <x:c r="F27" s="36"/>
      <x:c r="G27" s="36"/>
      <x:c r="H27" s="36"/>
      <x:c r="I27" s="36"/>
      <x:c r="J27" s="48" t="str">
        <x:f>IF(COUNTA(B27:I27)&lt;8,"",ROUND('Model Parameters'!$G$2+'Model Parameters'!$G$5*((B27-'Model Parameters'!$G$3)/'Model Parameters'!$G$4)+'Model Parameters'!$G$6*IF(C27="Yes",1,0)+SUMIFS('Model Parameters'!$C$2:$C$46,'Model Parameters'!$A$2:$A$46,"entry_product",'Model Parameters'!$B$2:$B$46,D27)+SUMIFS('Model Parameters'!$C$2:$C$46,'Model Parameters'!$A$2:$A$46,"sales_channel",'Model Parameters'!$B$2:$B$46,E27)+SUMIFS('Model Parameters'!$C$2:$C$46,'Model Parameters'!$A$2:$A$46,"gender",'Model Parameters'!$B$2:$B$46,F27)+SUMIFS('Model Parameters'!$C$2:$C$46,'Model Parameters'!$A$2:$A$46,"education",'Model Parameters'!$B$2:$B$46,G27)+SUMIFS('Model Parameters'!$C$2:$C$46,'Model Parameters'!$A$2:$A$46,"purchase_month",'Model Parameters'!$B$2:$B$46,TEXT(H27,"0"))+SUMIFS('Model Parameters'!$C$2:$C$46,'Model Parameters'!$A$2:$A$46,"purchase_day_of_week",'Model Parameters'!$B$2:$B$46,I27),2))</x:f>
      </x:c>
      <x:c r="K27" s="48" t="str">
        <x:f>IF(B27="","",'Model Parameters'!$G$5*((B27-'Model Parameters'!$G$3)/'Model Parameters'!$G$4))</x:f>
      </x:c>
      <x:c r="L27" s="48" t="str">
        <x:f>IF(C27="","",'Model Parameters'!$G$6*IF(C27="Yes",1,0))</x:f>
      </x:c>
      <x:c r="M27" s="48" t="str">
        <x:f>IF(D27="","",SUMIFS('Model Parameters'!$C$2:$C$46,'Model Parameters'!$A$2:$A$46,"entry_product",'Model Parameters'!$B$2:$B$46,D27))</x:f>
      </x:c>
      <x:c r="N27" s="48" t="str">
        <x:f>IF(E27="","",SUMIFS('Model Parameters'!$C$2:$C$46,'Model Parameters'!$A$2:$A$46,"sales_channel",'Model Parameters'!$B$2:$B$46,E27))</x:f>
      </x:c>
      <x:c r="O27" s="48" t="str">
        <x:f>IF(F27="","",SUMIFS('Model Parameters'!$C$2:$C$46,'Model Parameters'!$A$2:$A$46,"gender",'Model Parameters'!$B$2:$B$46,F27))</x:f>
      </x:c>
      <x:c r="P27" s="48" t="str">
        <x:f>IF(G27="","",SUMIFS('Model Parameters'!$C$2:$C$46,'Model Parameters'!$A$2:$A$46,"education",'Model Parameters'!$B$2:$B$46,G27))</x:f>
      </x:c>
      <x:c r="Q27" s="48" t="str">
        <x:f>IF(H27="","",SUMIFS('Model Parameters'!$C$2:$C$46,'Model Parameters'!$A$2:$A$46,"purchase_month",'Model Parameters'!$B$2:$B$46,TEXT(H27,"0")))</x:f>
      </x:c>
      <x:c r="R27" s="48" t="str">
        <x:f>IF(I27="","",SUMIFS('Model Parameters'!$C$2:$C$46,'Model Parameters'!$A$2:$A$46,"purchase_day_of_week",'Model Parameters'!$B$2:$B$46,I27))</x:f>
      </x:c>
      <x:c r="S27" t="str">
        <x:f>IF(COUNTA(B27:I27)=0,"Waiting for input",IF(COUNTA(B27:I27)&lt;8,"Incomplete","Calculated"))</x:f>
        <x:v>Waiting for input</x:v>
      </x:c>
    </x:row>
    <x:row r="28">
      <x:c r="A28" s="36" t="str">
        <x:v>CUST-020</x:v>
      </x:c>
      <x:c r="B28" s="38"/>
      <x:c r="C28" s="36"/>
      <x:c r="D28" s="36"/>
      <x:c r="E28" s="36"/>
      <x:c r="F28" s="36"/>
      <x:c r="G28" s="36"/>
      <x:c r="H28" s="36"/>
      <x:c r="I28" s="36"/>
      <x:c r="J28" s="48" t="str">
        <x:f>IF(COUNTA(B28:I28)&lt;8,"",ROUND('Model Parameters'!$G$2+'Model Parameters'!$G$5*((B28-'Model Parameters'!$G$3)/'Model Parameters'!$G$4)+'Model Parameters'!$G$6*IF(C28="Yes",1,0)+SUMIFS('Model Parameters'!$C$2:$C$46,'Model Parameters'!$A$2:$A$46,"entry_product",'Model Parameters'!$B$2:$B$46,D28)+SUMIFS('Model Parameters'!$C$2:$C$46,'Model Parameters'!$A$2:$A$46,"sales_channel",'Model Parameters'!$B$2:$B$46,E28)+SUMIFS('Model Parameters'!$C$2:$C$46,'Model Parameters'!$A$2:$A$46,"gender",'Model Parameters'!$B$2:$B$46,F28)+SUMIFS('Model Parameters'!$C$2:$C$46,'Model Parameters'!$A$2:$A$46,"education",'Model Parameters'!$B$2:$B$46,G28)+SUMIFS('Model Parameters'!$C$2:$C$46,'Model Parameters'!$A$2:$A$46,"purchase_month",'Model Parameters'!$B$2:$B$46,TEXT(H28,"0"))+SUMIFS('Model Parameters'!$C$2:$C$46,'Model Parameters'!$A$2:$A$46,"purchase_day_of_week",'Model Parameters'!$B$2:$B$46,I28),2))</x:f>
      </x:c>
      <x:c r="K28" s="48" t="str">
        <x:f>IF(B28="","",'Model Parameters'!$G$5*((B28-'Model Parameters'!$G$3)/'Model Parameters'!$G$4))</x:f>
      </x:c>
      <x:c r="L28" s="48" t="str">
        <x:f>IF(C28="","",'Model Parameters'!$G$6*IF(C28="Yes",1,0))</x:f>
      </x:c>
      <x:c r="M28" s="48" t="str">
        <x:f>IF(D28="","",SUMIFS('Model Parameters'!$C$2:$C$46,'Model Parameters'!$A$2:$A$46,"entry_product",'Model Parameters'!$B$2:$B$46,D28))</x:f>
      </x:c>
      <x:c r="N28" s="48" t="str">
        <x:f>IF(E28="","",SUMIFS('Model Parameters'!$C$2:$C$46,'Model Parameters'!$A$2:$A$46,"sales_channel",'Model Parameters'!$B$2:$B$46,E28))</x:f>
      </x:c>
      <x:c r="O28" s="48" t="str">
        <x:f>IF(F28="","",SUMIFS('Model Parameters'!$C$2:$C$46,'Model Parameters'!$A$2:$A$46,"gender",'Model Parameters'!$B$2:$B$46,F28))</x:f>
      </x:c>
      <x:c r="P28" s="48" t="str">
        <x:f>IF(G28="","",SUMIFS('Model Parameters'!$C$2:$C$46,'Model Parameters'!$A$2:$A$46,"education",'Model Parameters'!$B$2:$B$46,G28))</x:f>
      </x:c>
      <x:c r="Q28" s="48" t="str">
        <x:f>IF(H28="","",SUMIFS('Model Parameters'!$C$2:$C$46,'Model Parameters'!$A$2:$A$46,"purchase_month",'Model Parameters'!$B$2:$B$46,TEXT(H28,"0")))</x:f>
      </x:c>
      <x:c r="R28" s="48" t="str">
        <x:f>IF(I28="","",SUMIFS('Model Parameters'!$C$2:$C$46,'Model Parameters'!$A$2:$A$46,"purchase_day_of_week",'Model Parameters'!$B$2:$B$46,I28))</x:f>
      </x:c>
      <x:c r="S28" t="str">
        <x:f>IF(COUNTA(B28:I28)=0,"Waiting for input",IF(COUNTA(B28:I28)&lt;8,"Incomplete","Calculated"))</x:f>
        <x:v>Waiting for input</x:v>
      </x:c>
    </x:row>
    <x:row r="29">
      <x:c r="A29" s="36" t="str">
        <x:v>CUST-021</x:v>
      </x:c>
      <x:c r="B29" s="38"/>
      <x:c r="C29" s="36"/>
      <x:c r="D29" s="36"/>
      <x:c r="E29" s="36"/>
      <x:c r="F29" s="36"/>
      <x:c r="G29" s="36"/>
      <x:c r="H29" s="36"/>
      <x:c r="I29" s="36"/>
      <x:c r="J29" s="48" t="str">
        <x:f>IF(COUNTA(B29:I29)&lt;8,"",ROUND('Model Parameters'!$G$2+'Model Parameters'!$G$5*((B29-'Model Parameters'!$G$3)/'Model Parameters'!$G$4)+'Model Parameters'!$G$6*IF(C29="Yes",1,0)+SUMIFS('Model Parameters'!$C$2:$C$46,'Model Parameters'!$A$2:$A$46,"entry_product",'Model Parameters'!$B$2:$B$46,D29)+SUMIFS('Model Parameters'!$C$2:$C$46,'Model Parameters'!$A$2:$A$46,"sales_channel",'Model Parameters'!$B$2:$B$46,E29)+SUMIFS('Model Parameters'!$C$2:$C$46,'Model Parameters'!$A$2:$A$46,"gender",'Model Parameters'!$B$2:$B$46,F29)+SUMIFS('Model Parameters'!$C$2:$C$46,'Model Parameters'!$A$2:$A$46,"education",'Model Parameters'!$B$2:$B$46,G29)+SUMIFS('Model Parameters'!$C$2:$C$46,'Model Parameters'!$A$2:$A$46,"purchase_month",'Model Parameters'!$B$2:$B$46,TEXT(H29,"0"))+SUMIFS('Model Parameters'!$C$2:$C$46,'Model Parameters'!$A$2:$A$46,"purchase_day_of_week",'Model Parameters'!$B$2:$B$46,I29),2))</x:f>
      </x:c>
      <x:c r="K29" s="48" t="str">
        <x:f>IF(B29="","",'Model Parameters'!$G$5*((B29-'Model Parameters'!$G$3)/'Model Parameters'!$G$4))</x:f>
      </x:c>
      <x:c r="L29" s="48" t="str">
        <x:f>IF(C29="","",'Model Parameters'!$G$6*IF(C29="Yes",1,0))</x:f>
      </x:c>
      <x:c r="M29" s="48" t="str">
        <x:f>IF(D29="","",SUMIFS('Model Parameters'!$C$2:$C$46,'Model Parameters'!$A$2:$A$46,"entry_product",'Model Parameters'!$B$2:$B$46,D29))</x:f>
      </x:c>
      <x:c r="N29" s="48" t="str">
        <x:f>IF(E29="","",SUMIFS('Model Parameters'!$C$2:$C$46,'Model Parameters'!$A$2:$A$46,"sales_channel",'Model Parameters'!$B$2:$B$46,E29))</x:f>
      </x:c>
      <x:c r="O29" s="48" t="str">
        <x:f>IF(F29="","",SUMIFS('Model Parameters'!$C$2:$C$46,'Model Parameters'!$A$2:$A$46,"gender",'Model Parameters'!$B$2:$B$46,F29))</x:f>
      </x:c>
      <x:c r="P29" s="48" t="str">
        <x:f>IF(G29="","",SUMIFS('Model Parameters'!$C$2:$C$46,'Model Parameters'!$A$2:$A$46,"education",'Model Parameters'!$B$2:$B$46,G29))</x:f>
      </x:c>
      <x:c r="Q29" s="48" t="str">
        <x:f>IF(H29="","",SUMIFS('Model Parameters'!$C$2:$C$46,'Model Parameters'!$A$2:$A$46,"purchase_month",'Model Parameters'!$B$2:$B$46,TEXT(H29,"0")))</x:f>
      </x:c>
      <x:c r="R29" s="48" t="str">
        <x:f>IF(I29="","",SUMIFS('Model Parameters'!$C$2:$C$46,'Model Parameters'!$A$2:$A$46,"purchase_day_of_week",'Model Parameters'!$B$2:$B$46,I29))</x:f>
      </x:c>
      <x:c r="S29" t="str">
        <x:f>IF(COUNTA(B29:I29)=0,"Waiting for input",IF(COUNTA(B29:I29)&lt;8,"Incomplete","Calculated"))</x:f>
        <x:v>Waiting for input</x:v>
      </x:c>
    </x:row>
    <x:row r="30">
      <x:c r="A30" s="36" t="str">
        <x:v>CUST-022</x:v>
      </x:c>
      <x:c r="B30" s="38"/>
      <x:c r="C30" s="36"/>
      <x:c r="D30" s="36"/>
      <x:c r="E30" s="36"/>
      <x:c r="F30" s="36"/>
      <x:c r="G30" s="36"/>
      <x:c r="H30" s="36"/>
      <x:c r="I30" s="36"/>
      <x:c r="J30" s="48" t="str">
        <x:f>IF(COUNTA(B30:I30)&lt;8,"",ROUND('Model Parameters'!$G$2+'Model Parameters'!$G$5*((B30-'Model Parameters'!$G$3)/'Model Parameters'!$G$4)+'Model Parameters'!$G$6*IF(C30="Yes",1,0)+SUMIFS('Model Parameters'!$C$2:$C$46,'Model Parameters'!$A$2:$A$46,"entry_product",'Model Parameters'!$B$2:$B$46,D30)+SUMIFS('Model Parameters'!$C$2:$C$46,'Model Parameters'!$A$2:$A$46,"sales_channel",'Model Parameters'!$B$2:$B$46,E30)+SUMIFS('Model Parameters'!$C$2:$C$46,'Model Parameters'!$A$2:$A$46,"gender",'Model Parameters'!$B$2:$B$46,F30)+SUMIFS('Model Parameters'!$C$2:$C$46,'Model Parameters'!$A$2:$A$46,"education",'Model Parameters'!$B$2:$B$46,G30)+SUMIFS('Model Parameters'!$C$2:$C$46,'Model Parameters'!$A$2:$A$46,"purchase_month",'Model Parameters'!$B$2:$B$46,TEXT(H30,"0"))+SUMIFS('Model Parameters'!$C$2:$C$46,'Model Parameters'!$A$2:$A$46,"purchase_day_of_week",'Model Parameters'!$B$2:$B$46,I30),2))</x:f>
      </x:c>
      <x:c r="K30" s="48" t="str">
        <x:f>IF(B30="","",'Model Parameters'!$G$5*((B30-'Model Parameters'!$G$3)/'Model Parameters'!$G$4))</x:f>
      </x:c>
      <x:c r="L30" s="48" t="str">
        <x:f>IF(C30="","",'Model Parameters'!$G$6*IF(C30="Yes",1,0))</x:f>
      </x:c>
      <x:c r="M30" s="48" t="str">
        <x:f>IF(D30="","",SUMIFS('Model Parameters'!$C$2:$C$46,'Model Parameters'!$A$2:$A$46,"entry_product",'Model Parameters'!$B$2:$B$46,D30))</x:f>
      </x:c>
      <x:c r="N30" s="48" t="str">
        <x:f>IF(E30="","",SUMIFS('Model Parameters'!$C$2:$C$46,'Model Parameters'!$A$2:$A$46,"sales_channel",'Model Parameters'!$B$2:$B$46,E30))</x:f>
      </x:c>
      <x:c r="O30" s="48" t="str">
        <x:f>IF(F30="","",SUMIFS('Model Parameters'!$C$2:$C$46,'Model Parameters'!$A$2:$A$46,"gender",'Model Parameters'!$B$2:$B$46,F30))</x:f>
      </x:c>
      <x:c r="P30" s="48" t="str">
        <x:f>IF(G30="","",SUMIFS('Model Parameters'!$C$2:$C$46,'Model Parameters'!$A$2:$A$46,"education",'Model Parameters'!$B$2:$B$46,G30))</x:f>
      </x:c>
      <x:c r="Q30" s="48" t="str">
        <x:f>IF(H30="","",SUMIFS('Model Parameters'!$C$2:$C$46,'Model Parameters'!$A$2:$A$46,"purchase_month",'Model Parameters'!$B$2:$B$46,TEXT(H30,"0")))</x:f>
      </x:c>
      <x:c r="R30" s="48" t="str">
        <x:f>IF(I30="","",SUMIFS('Model Parameters'!$C$2:$C$46,'Model Parameters'!$A$2:$A$46,"purchase_day_of_week",'Model Parameters'!$B$2:$B$46,I30))</x:f>
      </x:c>
      <x:c r="S30" t="str">
        <x:f>IF(COUNTA(B30:I30)=0,"Waiting for input",IF(COUNTA(B30:I30)&lt;8,"Incomplete","Calculated"))</x:f>
        <x:v>Waiting for input</x:v>
      </x:c>
    </x:row>
    <x:row r="31">
      <x:c r="A31" s="36" t="str">
        <x:v>CUST-023</x:v>
      </x:c>
      <x:c r="B31" s="38"/>
      <x:c r="C31" s="36"/>
      <x:c r="D31" s="36"/>
      <x:c r="E31" s="36"/>
      <x:c r="F31" s="36"/>
      <x:c r="G31" s="36"/>
      <x:c r="H31" s="36"/>
      <x:c r="I31" s="36"/>
      <x:c r="J31" s="48" t="str">
        <x:f>IF(COUNTA(B31:I31)&lt;8,"",ROUND('Model Parameters'!$G$2+'Model Parameters'!$G$5*((B31-'Model Parameters'!$G$3)/'Model Parameters'!$G$4)+'Model Parameters'!$G$6*IF(C31="Yes",1,0)+SUMIFS('Model Parameters'!$C$2:$C$46,'Model Parameters'!$A$2:$A$46,"entry_product",'Model Parameters'!$B$2:$B$46,D31)+SUMIFS('Model Parameters'!$C$2:$C$46,'Model Parameters'!$A$2:$A$46,"sales_channel",'Model Parameters'!$B$2:$B$46,E31)+SUMIFS('Model Parameters'!$C$2:$C$46,'Model Parameters'!$A$2:$A$46,"gender",'Model Parameters'!$B$2:$B$46,F31)+SUMIFS('Model Parameters'!$C$2:$C$46,'Model Parameters'!$A$2:$A$46,"education",'Model Parameters'!$B$2:$B$46,G31)+SUMIFS('Model Parameters'!$C$2:$C$46,'Model Parameters'!$A$2:$A$46,"purchase_month",'Model Parameters'!$B$2:$B$46,TEXT(H31,"0"))+SUMIFS('Model Parameters'!$C$2:$C$46,'Model Parameters'!$A$2:$A$46,"purchase_day_of_week",'Model Parameters'!$B$2:$B$46,I31),2))</x:f>
      </x:c>
      <x:c r="K31" s="48" t="str">
        <x:f>IF(B31="","",'Model Parameters'!$G$5*((B31-'Model Parameters'!$G$3)/'Model Parameters'!$G$4))</x:f>
      </x:c>
      <x:c r="L31" s="48" t="str">
        <x:f>IF(C31="","",'Model Parameters'!$G$6*IF(C31="Yes",1,0))</x:f>
      </x:c>
      <x:c r="M31" s="48" t="str">
        <x:f>IF(D31="","",SUMIFS('Model Parameters'!$C$2:$C$46,'Model Parameters'!$A$2:$A$46,"entry_product",'Model Parameters'!$B$2:$B$46,D31))</x:f>
      </x:c>
      <x:c r="N31" s="48" t="str">
        <x:f>IF(E31="","",SUMIFS('Model Parameters'!$C$2:$C$46,'Model Parameters'!$A$2:$A$46,"sales_channel",'Model Parameters'!$B$2:$B$46,E31))</x:f>
      </x:c>
      <x:c r="O31" s="48" t="str">
        <x:f>IF(F31="","",SUMIFS('Model Parameters'!$C$2:$C$46,'Model Parameters'!$A$2:$A$46,"gender",'Model Parameters'!$B$2:$B$46,F31))</x:f>
      </x:c>
      <x:c r="P31" s="48" t="str">
        <x:f>IF(G31="","",SUMIFS('Model Parameters'!$C$2:$C$46,'Model Parameters'!$A$2:$A$46,"education",'Model Parameters'!$B$2:$B$46,G31))</x:f>
      </x:c>
      <x:c r="Q31" s="48" t="str">
        <x:f>IF(H31="","",SUMIFS('Model Parameters'!$C$2:$C$46,'Model Parameters'!$A$2:$A$46,"purchase_month",'Model Parameters'!$B$2:$B$46,TEXT(H31,"0")))</x:f>
      </x:c>
      <x:c r="R31" s="48" t="str">
        <x:f>IF(I31="","",SUMIFS('Model Parameters'!$C$2:$C$46,'Model Parameters'!$A$2:$A$46,"purchase_day_of_week",'Model Parameters'!$B$2:$B$46,I31))</x:f>
      </x:c>
      <x:c r="S31" t="str">
        <x:f>IF(COUNTA(B31:I31)=0,"Waiting for input",IF(COUNTA(B31:I31)&lt;8,"Incomplete","Calculated"))</x:f>
        <x:v>Waiting for input</x:v>
      </x:c>
    </x:row>
    <x:row r="32">
      <x:c r="A32" s="36" t="str">
        <x:v>CUST-024</x:v>
      </x:c>
      <x:c r="B32" s="38"/>
      <x:c r="C32" s="36"/>
      <x:c r="D32" s="36"/>
      <x:c r="E32" s="36"/>
      <x:c r="F32" s="36"/>
      <x:c r="G32" s="36"/>
      <x:c r="H32" s="36"/>
      <x:c r="I32" s="36"/>
      <x:c r="J32" s="48" t="str">
        <x:f>IF(COUNTA(B32:I32)&lt;8,"",ROUND('Model Parameters'!$G$2+'Model Parameters'!$G$5*((B32-'Model Parameters'!$G$3)/'Model Parameters'!$G$4)+'Model Parameters'!$G$6*IF(C32="Yes",1,0)+SUMIFS('Model Parameters'!$C$2:$C$46,'Model Parameters'!$A$2:$A$46,"entry_product",'Model Parameters'!$B$2:$B$46,D32)+SUMIFS('Model Parameters'!$C$2:$C$46,'Model Parameters'!$A$2:$A$46,"sales_channel",'Model Parameters'!$B$2:$B$46,E32)+SUMIFS('Model Parameters'!$C$2:$C$46,'Model Parameters'!$A$2:$A$46,"gender",'Model Parameters'!$B$2:$B$46,F32)+SUMIFS('Model Parameters'!$C$2:$C$46,'Model Parameters'!$A$2:$A$46,"education",'Model Parameters'!$B$2:$B$46,G32)+SUMIFS('Model Parameters'!$C$2:$C$46,'Model Parameters'!$A$2:$A$46,"purchase_month",'Model Parameters'!$B$2:$B$46,TEXT(H32,"0"))+SUMIFS('Model Parameters'!$C$2:$C$46,'Model Parameters'!$A$2:$A$46,"purchase_day_of_week",'Model Parameters'!$B$2:$B$46,I32),2))</x:f>
      </x:c>
      <x:c r="K32" s="48" t="str">
        <x:f>IF(B32="","",'Model Parameters'!$G$5*((B32-'Model Parameters'!$G$3)/'Model Parameters'!$G$4))</x:f>
      </x:c>
      <x:c r="L32" s="48" t="str">
        <x:f>IF(C32="","",'Model Parameters'!$G$6*IF(C32="Yes",1,0))</x:f>
      </x:c>
      <x:c r="M32" s="48" t="str">
        <x:f>IF(D32="","",SUMIFS('Model Parameters'!$C$2:$C$46,'Model Parameters'!$A$2:$A$46,"entry_product",'Model Parameters'!$B$2:$B$46,D32))</x:f>
      </x:c>
      <x:c r="N32" s="48" t="str">
        <x:f>IF(E32="","",SUMIFS('Model Parameters'!$C$2:$C$46,'Model Parameters'!$A$2:$A$46,"sales_channel",'Model Parameters'!$B$2:$B$46,E32))</x:f>
      </x:c>
      <x:c r="O32" s="48" t="str">
        <x:f>IF(F32="","",SUMIFS('Model Parameters'!$C$2:$C$46,'Model Parameters'!$A$2:$A$46,"gender",'Model Parameters'!$B$2:$B$46,F32))</x:f>
      </x:c>
      <x:c r="P32" s="48" t="str">
        <x:f>IF(G32="","",SUMIFS('Model Parameters'!$C$2:$C$46,'Model Parameters'!$A$2:$A$46,"education",'Model Parameters'!$B$2:$B$46,G32))</x:f>
      </x:c>
      <x:c r="Q32" s="48" t="str">
        <x:f>IF(H32="","",SUMIFS('Model Parameters'!$C$2:$C$46,'Model Parameters'!$A$2:$A$46,"purchase_month",'Model Parameters'!$B$2:$B$46,TEXT(H32,"0")))</x:f>
      </x:c>
      <x:c r="R32" s="48" t="str">
        <x:f>IF(I32="","",SUMIFS('Model Parameters'!$C$2:$C$46,'Model Parameters'!$A$2:$A$46,"purchase_day_of_week",'Model Parameters'!$B$2:$B$46,I32))</x:f>
      </x:c>
      <x:c r="S32" t="str">
        <x:f>IF(COUNTA(B32:I32)=0,"Waiting for input",IF(COUNTA(B32:I32)&lt;8,"Incomplete","Calculated"))</x:f>
        <x:v>Waiting for input</x:v>
      </x:c>
    </x:row>
    <x:row r="33">
      <x:c r="A33" s="36" t="str">
        <x:v>CUST-025</x:v>
      </x:c>
      <x:c r="B33" s="38"/>
      <x:c r="C33" s="36"/>
      <x:c r="D33" s="36"/>
      <x:c r="E33" s="36"/>
      <x:c r="F33" s="36"/>
      <x:c r="G33" s="36"/>
      <x:c r="H33" s="36"/>
      <x:c r="I33" s="36"/>
      <x:c r="J33" s="48" t="str">
        <x:f>IF(COUNTA(B33:I33)&lt;8,"",ROUND('Model Parameters'!$G$2+'Model Parameters'!$G$5*((B33-'Model Parameters'!$G$3)/'Model Parameters'!$G$4)+'Model Parameters'!$G$6*IF(C33="Yes",1,0)+SUMIFS('Model Parameters'!$C$2:$C$46,'Model Parameters'!$A$2:$A$46,"entry_product",'Model Parameters'!$B$2:$B$46,D33)+SUMIFS('Model Parameters'!$C$2:$C$46,'Model Parameters'!$A$2:$A$46,"sales_channel",'Model Parameters'!$B$2:$B$46,E33)+SUMIFS('Model Parameters'!$C$2:$C$46,'Model Parameters'!$A$2:$A$46,"gender",'Model Parameters'!$B$2:$B$46,F33)+SUMIFS('Model Parameters'!$C$2:$C$46,'Model Parameters'!$A$2:$A$46,"education",'Model Parameters'!$B$2:$B$46,G33)+SUMIFS('Model Parameters'!$C$2:$C$46,'Model Parameters'!$A$2:$A$46,"purchase_month",'Model Parameters'!$B$2:$B$46,TEXT(H33,"0"))+SUMIFS('Model Parameters'!$C$2:$C$46,'Model Parameters'!$A$2:$A$46,"purchase_day_of_week",'Model Parameters'!$B$2:$B$46,I33),2))</x:f>
      </x:c>
      <x:c r="K33" s="48" t="str">
        <x:f>IF(B33="","",'Model Parameters'!$G$5*((B33-'Model Parameters'!$G$3)/'Model Parameters'!$G$4))</x:f>
      </x:c>
      <x:c r="L33" s="48" t="str">
        <x:f>IF(C33="","",'Model Parameters'!$G$6*IF(C33="Yes",1,0))</x:f>
      </x:c>
      <x:c r="M33" s="48" t="str">
        <x:f>IF(D33="","",SUMIFS('Model Parameters'!$C$2:$C$46,'Model Parameters'!$A$2:$A$46,"entry_product",'Model Parameters'!$B$2:$B$46,D33))</x:f>
      </x:c>
      <x:c r="N33" s="48" t="str">
        <x:f>IF(E33="","",SUMIFS('Model Parameters'!$C$2:$C$46,'Model Parameters'!$A$2:$A$46,"sales_channel",'Model Parameters'!$B$2:$B$46,E33))</x:f>
      </x:c>
      <x:c r="O33" s="48" t="str">
        <x:f>IF(F33="","",SUMIFS('Model Parameters'!$C$2:$C$46,'Model Parameters'!$A$2:$A$46,"gender",'Model Parameters'!$B$2:$B$46,F33))</x:f>
      </x:c>
      <x:c r="P33" s="48" t="str">
        <x:f>IF(G33="","",SUMIFS('Model Parameters'!$C$2:$C$46,'Model Parameters'!$A$2:$A$46,"education",'Model Parameters'!$B$2:$B$46,G33))</x:f>
      </x:c>
      <x:c r="Q33" s="48" t="str">
        <x:f>IF(H33="","",SUMIFS('Model Parameters'!$C$2:$C$46,'Model Parameters'!$A$2:$A$46,"purchase_month",'Model Parameters'!$B$2:$B$46,TEXT(H33,"0")))</x:f>
      </x:c>
      <x:c r="R33" s="48" t="str">
        <x:f>IF(I33="","",SUMIFS('Model Parameters'!$C$2:$C$46,'Model Parameters'!$A$2:$A$46,"purchase_day_of_week",'Model Parameters'!$B$2:$B$46,I33))</x:f>
      </x:c>
      <x:c r="S33" t="str">
        <x:f>IF(COUNTA(B33:I33)=0,"Waiting for input",IF(COUNTA(B33:I33)&lt;8,"Incomplete","Calculated"))</x:f>
        <x:v>Waiting for input</x:v>
      </x:c>
    </x:row>
    <x:row r="34">
      <x:c r="A34" s="36" t="str">
        <x:v>CUST-026</x:v>
      </x:c>
      <x:c r="B34" s="38"/>
      <x:c r="C34" s="36"/>
      <x:c r="D34" s="36"/>
      <x:c r="E34" s="36"/>
      <x:c r="F34" s="36"/>
      <x:c r="G34" s="36"/>
      <x:c r="H34" s="36"/>
      <x:c r="I34" s="36"/>
      <x:c r="J34" s="48" t="str">
        <x:f>IF(COUNTA(B34:I34)&lt;8,"",ROUND('Model Parameters'!$G$2+'Model Parameters'!$G$5*((B34-'Model Parameters'!$G$3)/'Model Parameters'!$G$4)+'Model Parameters'!$G$6*IF(C34="Yes",1,0)+SUMIFS('Model Parameters'!$C$2:$C$46,'Model Parameters'!$A$2:$A$46,"entry_product",'Model Parameters'!$B$2:$B$46,D34)+SUMIFS('Model Parameters'!$C$2:$C$46,'Model Parameters'!$A$2:$A$46,"sales_channel",'Model Parameters'!$B$2:$B$46,E34)+SUMIFS('Model Parameters'!$C$2:$C$46,'Model Parameters'!$A$2:$A$46,"gender",'Model Parameters'!$B$2:$B$46,F34)+SUMIFS('Model Parameters'!$C$2:$C$46,'Model Parameters'!$A$2:$A$46,"education",'Model Parameters'!$B$2:$B$46,G34)+SUMIFS('Model Parameters'!$C$2:$C$46,'Model Parameters'!$A$2:$A$46,"purchase_month",'Model Parameters'!$B$2:$B$46,TEXT(H34,"0"))+SUMIFS('Model Parameters'!$C$2:$C$46,'Model Parameters'!$A$2:$A$46,"purchase_day_of_week",'Model Parameters'!$B$2:$B$46,I34),2))</x:f>
      </x:c>
      <x:c r="K34" s="48" t="str">
        <x:f>IF(B34="","",'Model Parameters'!$G$5*((B34-'Model Parameters'!$G$3)/'Model Parameters'!$G$4))</x:f>
      </x:c>
      <x:c r="L34" s="48" t="str">
        <x:f>IF(C34="","",'Model Parameters'!$G$6*IF(C34="Yes",1,0))</x:f>
      </x:c>
      <x:c r="M34" s="48" t="str">
        <x:f>IF(D34="","",SUMIFS('Model Parameters'!$C$2:$C$46,'Model Parameters'!$A$2:$A$46,"entry_product",'Model Parameters'!$B$2:$B$46,D34))</x:f>
      </x:c>
      <x:c r="N34" s="48" t="str">
        <x:f>IF(E34="","",SUMIFS('Model Parameters'!$C$2:$C$46,'Model Parameters'!$A$2:$A$46,"sales_channel",'Model Parameters'!$B$2:$B$46,E34))</x:f>
      </x:c>
      <x:c r="O34" s="48" t="str">
        <x:f>IF(F34="","",SUMIFS('Model Parameters'!$C$2:$C$46,'Model Parameters'!$A$2:$A$46,"gender",'Model Parameters'!$B$2:$B$46,F34))</x:f>
      </x:c>
      <x:c r="P34" s="48" t="str">
        <x:f>IF(G34="","",SUMIFS('Model Parameters'!$C$2:$C$46,'Model Parameters'!$A$2:$A$46,"education",'Model Parameters'!$B$2:$B$46,G34))</x:f>
      </x:c>
      <x:c r="Q34" s="48" t="str">
        <x:f>IF(H34="","",SUMIFS('Model Parameters'!$C$2:$C$46,'Model Parameters'!$A$2:$A$46,"purchase_month",'Model Parameters'!$B$2:$B$46,TEXT(H34,"0")))</x:f>
      </x:c>
      <x:c r="R34" s="48" t="str">
        <x:f>IF(I34="","",SUMIFS('Model Parameters'!$C$2:$C$46,'Model Parameters'!$A$2:$A$46,"purchase_day_of_week",'Model Parameters'!$B$2:$B$46,I34))</x:f>
      </x:c>
      <x:c r="S34" t="str">
        <x:f>IF(COUNTA(B34:I34)=0,"Waiting for input",IF(COUNTA(B34:I34)&lt;8,"Incomplete","Calculated"))</x:f>
        <x:v>Waiting for input</x:v>
      </x:c>
    </x:row>
    <x:row r="35">
      <x:c r="A35" s="36" t="str">
        <x:v>CUST-027</x:v>
      </x:c>
      <x:c r="B35" s="38"/>
      <x:c r="C35" s="36"/>
      <x:c r="D35" s="36"/>
      <x:c r="E35" s="36"/>
      <x:c r="F35" s="36"/>
      <x:c r="G35" s="36"/>
      <x:c r="H35" s="36"/>
      <x:c r="I35" s="36"/>
      <x:c r="J35" s="48" t="str">
        <x:f>IF(COUNTA(B35:I35)&lt;8,"",ROUND('Model Parameters'!$G$2+'Model Parameters'!$G$5*((B35-'Model Parameters'!$G$3)/'Model Parameters'!$G$4)+'Model Parameters'!$G$6*IF(C35="Yes",1,0)+SUMIFS('Model Parameters'!$C$2:$C$46,'Model Parameters'!$A$2:$A$46,"entry_product",'Model Parameters'!$B$2:$B$46,D35)+SUMIFS('Model Parameters'!$C$2:$C$46,'Model Parameters'!$A$2:$A$46,"sales_channel",'Model Parameters'!$B$2:$B$46,E35)+SUMIFS('Model Parameters'!$C$2:$C$46,'Model Parameters'!$A$2:$A$46,"gender",'Model Parameters'!$B$2:$B$46,F35)+SUMIFS('Model Parameters'!$C$2:$C$46,'Model Parameters'!$A$2:$A$46,"education",'Model Parameters'!$B$2:$B$46,G35)+SUMIFS('Model Parameters'!$C$2:$C$46,'Model Parameters'!$A$2:$A$46,"purchase_month",'Model Parameters'!$B$2:$B$46,TEXT(H35,"0"))+SUMIFS('Model Parameters'!$C$2:$C$46,'Model Parameters'!$A$2:$A$46,"purchase_day_of_week",'Model Parameters'!$B$2:$B$46,I35),2))</x:f>
      </x:c>
      <x:c r="K35" s="48" t="str">
        <x:f>IF(B35="","",'Model Parameters'!$G$5*((B35-'Model Parameters'!$G$3)/'Model Parameters'!$G$4))</x:f>
      </x:c>
      <x:c r="L35" s="48" t="str">
        <x:f>IF(C35="","",'Model Parameters'!$G$6*IF(C35="Yes",1,0))</x:f>
      </x:c>
      <x:c r="M35" s="48" t="str">
        <x:f>IF(D35="","",SUMIFS('Model Parameters'!$C$2:$C$46,'Model Parameters'!$A$2:$A$46,"entry_product",'Model Parameters'!$B$2:$B$46,D35))</x:f>
      </x:c>
      <x:c r="N35" s="48" t="str">
        <x:f>IF(E35="","",SUMIFS('Model Parameters'!$C$2:$C$46,'Model Parameters'!$A$2:$A$46,"sales_channel",'Model Parameters'!$B$2:$B$46,E35))</x:f>
      </x:c>
      <x:c r="O35" s="48" t="str">
        <x:f>IF(F35="","",SUMIFS('Model Parameters'!$C$2:$C$46,'Model Parameters'!$A$2:$A$46,"gender",'Model Parameters'!$B$2:$B$46,F35))</x:f>
      </x:c>
      <x:c r="P35" s="48" t="str">
        <x:f>IF(G35="","",SUMIFS('Model Parameters'!$C$2:$C$46,'Model Parameters'!$A$2:$A$46,"education",'Model Parameters'!$B$2:$B$46,G35))</x:f>
      </x:c>
      <x:c r="Q35" s="48" t="str">
        <x:f>IF(H35="","",SUMIFS('Model Parameters'!$C$2:$C$46,'Model Parameters'!$A$2:$A$46,"purchase_month",'Model Parameters'!$B$2:$B$46,TEXT(H35,"0")))</x:f>
      </x:c>
      <x:c r="R35" s="48" t="str">
        <x:f>IF(I35="","",SUMIFS('Model Parameters'!$C$2:$C$46,'Model Parameters'!$A$2:$A$46,"purchase_day_of_week",'Model Parameters'!$B$2:$B$46,I35))</x:f>
      </x:c>
      <x:c r="S35" t="str">
        <x:f>IF(COUNTA(B35:I35)=0,"Waiting for input",IF(COUNTA(B35:I35)&lt;8,"Incomplete","Calculated"))</x:f>
        <x:v>Waiting for input</x:v>
      </x:c>
    </x:row>
    <x:row r="36">
      <x:c r="A36" s="36" t="str">
        <x:v>CUST-028</x:v>
      </x:c>
      <x:c r="B36" s="38"/>
      <x:c r="C36" s="36"/>
      <x:c r="D36" s="36"/>
      <x:c r="E36" s="36"/>
      <x:c r="F36" s="36"/>
      <x:c r="G36" s="36"/>
      <x:c r="H36" s="36"/>
      <x:c r="I36" s="36"/>
      <x:c r="J36" s="48" t="str">
        <x:f>IF(COUNTA(B36:I36)&lt;8,"",ROUND('Model Parameters'!$G$2+'Model Parameters'!$G$5*((B36-'Model Parameters'!$G$3)/'Model Parameters'!$G$4)+'Model Parameters'!$G$6*IF(C36="Yes",1,0)+SUMIFS('Model Parameters'!$C$2:$C$46,'Model Parameters'!$A$2:$A$46,"entry_product",'Model Parameters'!$B$2:$B$46,D36)+SUMIFS('Model Parameters'!$C$2:$C$46,'Model Parameters'!$A$2:$A$46,"sales_channel",'Model Parameters'!$B$2:$B$46,E36)+SUMIFS('Model Parameters'!$C$2:$C$46,'Model Parameters'!$A$2:$A$46,"gender",'Model Parameters'!$B$2:$B$46,F36)+SUMIFS('Model Parameters'!$C$2:$C$46,'Model Parameters'!$A$2:$A$46,"education",'Model Parameters'!$B$2:$B$46,G36)+SUMIFS('Model Parameters'!$C$2:$C$46,'Model Parameters'!$A$2:$A$46,"purchase_month",'Model Parameters'!$B$2:$B$46,TEXT(H36,"0"))+SUMIFS('Model Parameters'!$C$2:$C$46,'Model Parameters'!$A$2:$A$46,"purchase_day_of_week",'Model Parameters'!$B$2:$B$46,I36),2))</x:f>
      </x:c>
      <x:c r="K36" s="48" t="str">
        <x:f>IF(B36="","",'Model Parameters'!$G$5*((B36-'Model Parameters'!$G$3)/'Model Parameters'!$G$4))</x:f>
      </x:c>
      <x:c r="L36" s="48" t="str">
        <x:f>IF(C36="","",'Model Parameters'!$G$6*IF(C36="Yes",1,0))</x:f>
      </x:c>
      <x:c r="M36" s="48" t="str">
        <x:f>IF(D36="","",SUMIFS('Model Parameters'!$C$2:$C$46,'Model Parameters'!$A$2:$A$46,"entry_product",'Model Parameters'!$B$2:$B$46,D36))</x:f>
      </x:c>
      <x:c r="N36" s="48" t="str">
        <x:f>IF(E36="","",SUMIFS('Model Parameters'!$C$2:$C$46,'Model Parameters'!$A$2:$A$46,"sales_channel",'Model Parameters'!$B$2:$B$46,E36))</x:f>
      </x:c>
      <x:c r="O36" s="48" t="str">
        <x:f>IF(F36="","",SUMIFS('Model Parameters'!$C$2:$C$46,'Model Parameters'!$A$2:$A$46,"gender",'Model Parameters'!$B$2:$B$46,F36))</x:f>
      </x:c>
      <x:c r="P36" s="48" t="str">
        <x:f>IF(G36="","",SUMIFS('Model Parameters'!$C$2:$C$46,'Model Parameters'!$A$2:$A$46,"education",'Model Parameters'!$B$2:$B$46,G36))</x:f>
      </x:c>
      <x:c r="Q36" s="48" t="str">
        <x:f>IF(H36="","",SUMIFS('Model Parameters'!$C$2:$C$46,'Model Parameters'!$A$2:$A$46,"purchase_month",'Model Parameters'!$B$2:$B$46,TEXT(H36,"0")))</x:f>
      </x:c>
      <x:c r="R36" s="48" t="str">
        <x:f>IF(I36="","",SUMIFS('Model Parameters'!$C$2:$C$46,'Model Parameters'!$A$2:$A$46,"purchase_day_of_week",'Model Parameters'!$B$2:$B$46,I36))</x:f>
      </x:c>
      <x:c r="S36" t="str">
        <x:f>IF(COUNTA(B36:I36)=0,"Waiting for input",IF(COUNTA(B36:I36)&lt;8,"Incomplete","Calculated"))</x:f>
        <x:v>Waiting for input</x:v>
      </x:c>
    </x:row>
    <x:row r="37">
      <x:c r="A37" s="36" t="str">
        <x:v>CUST-029</x:v>
      </x:c>
      <x:c r="B37" s="38"/>
      <x:c r="C37" s="36"/>
      <x:c r="D37" s="36"/>
      <x:c r="E37" s="36"/>
      <x:c r="F37" s="36"/>
      <x:c r="G37" s="36"/>
      <x:c r="H37" s="36"/>
      <x:c r="I37" s="36"/>
      <x:c r="J37" s="48" t="str">
        <x:f>IF(COUNTA(B37:I37)&lt;8,"",ROUND('Model Parameters'!$G$2+'Model Parameters'!$G$5*((B37-'Model Parameters'!$G$3)/'Model Parameters'!$G$4)+'Model Parameters'!$G$6*IF(C37="Yes",1,0)+SUMIFS('Model Parameters'!$C$2:$C$46,'Model Parameters'!$A$2:$A$46,"entry_product",'Model Parameters'!$B$2:$B$46,D37)+SUMIFS('Model Parameters'!$C$2:$C$46,'Model Parameters'!$A$2:$A$46,"sales_channel",'Model Parameters'!$B$2:$B$46,E37)+SUMIFS('Model Parameters'!$C$2:$C$46,'Model Parameters'!$A$2:$A$46,"gender",'Model Parameters'!$B$2:$B$46,F37)+SUMIFS('Model Parameters'!$C$2:$C$46,'Model Parameters'!$A$2:$A$46,"education",'Model Parameters'!$B$2:$B$46,G37)+SUMIFS('Model Parameters'!$C$2:$C$46,'Model Parameters'!$A$2:$A$46,"purchase_month",'Model Parameters'!$B$2:$B$46,TEXT(H37,"0"))+SUMIFS('Model Parameters'!$C$2:$C$46,'Model Parameters'!$A$2:$A$46,"purchase_day_of_week",'Model Parameters'!$B$2:$B$46,I37),2))</x:f>
      </x:c>
      <x:c r="K37" s="48" t="str">
        <x:f>IF(B37="","",'Model Parameters'!$G$5*((B37-'Model Parameters'!$G$3)/'Model Parameters'!$G$4))</x:f>
      </x:c>
      <x:c r="L37" s="48" t="str">
        <x:f>IF(C37="","",'Model Parameters'!$G$6*IF(C37="Yes",1,0))</x:f>
      </x:c>
      <x:c r="M37" s="48" t="str">
        <x:f>IF(D37="","",SUMIFS('Model Parameters'!$C$2:$C$46,'Model Parameters'!$A$2:$A$46,"entry_product",'Model Parameters'!$B$2:$B$46,D37))</x:f>
      </x:c>
      <x:c r="N37" s="48" t="str">
        <x:f>IF(E37="","",SUMIFS('Model Parameters'!$C$2:$C$46,'Model Parameters'!$A$2:$A$46,"sales_channel",'Model Parameters'!$B$2:$B$46,E37))</x:f>
      </x:c>
      <x:c r="O37" s="48" t="str">
        <x:f>IF(F37="","",SUMIFS('Model Parameters'!$C$2:$C$46,'Model Parameters'!$A$2:$A$46,"gender",'Model Parameters'!$B$2:$B$46,F37))</x:f>
      </x:c>
      <x:c r="P37" s="48" t="str">
        <x:f>IF(G37="","",SUMIFS('Model Parameters'!$C$2:$C$46,'Model Parameters'!$A$2:$A$46,"education",'Model Parameters'!$B$2:$B$46,G37))</x:f>
      </x:c>
      <x:c r="Q37" s="48" t="str">
        <x:f>IF(H37="","",SUMIFS('Model Parameters'!$C$2:$C$46,'Model Parameters'!$A$2:$A$46,"purchase_month",'Model Parameters'!$B$2:$B$46,TEXT(H37,"0")))</x:f>
      </x:c>
      <x:c r="R37" s="48" t="str">
        <x:f>IF(I37="","",SUMIFS('Model Parameters'!$C$2:$C$46,'Model Parameters'!$A$2:$A$46,"purchase_day_of_week",'Model Parameters'!$B$2:$B$46,I37))</x:f>
      </x:c>
      <x:c r="S37" t="str">
        <x:f>IF(COUNTA(B37:I37)=0,"Waiting for input",IF(COUNTA(B37:I37)&lt;8,"Incomplete","Calculated"))</x:f>
        <x:v>Waiting for input</x:v>
      </x:c>
    </x:row>
    <x:row r="38">
      <x:c r="A38" s="36" t="str">
        <x:v>CUST-030</x:v>
      </x:c>
      <x:c r="B38" s="38"/>
      <x:c r="C38" s="36"/>
      <x:c r="D38" s="36"/>
      <x:c r="E38" s="36"/>
      <x:c r="F38" s="36"/>
      <x:c r="G38" s="36"/>
      <x:c r="H38" s="36"/>
      <x:c r="I38" s="36"/>
      <x:c r="J38" s="48" t="str">
        <x:f>IF(COUNTA(B38:I38)&lt;8,"",ROUND('Model Parameters'!$G$2+'Model Parameters'!$G$5*((B38-'Model Parameters'!$G$3)/'Model Parameters'!$G$4)+'Model Parameters'!$G$6*IF(C38="Yes",1,0)+SUMIFS('Model Parameters'!$C$2:$C$46,'Model Parameters'!$A$2:$A$46,"entry_product",'Model Parameters'!$B$2:$B$46,D38)+SUMIFS('Model Parameters'!$C$2:$C$46,'Model Parameters'!$A$2:$A$46,"sales_channel",'Model Parameters'!$B$2:$B$46,E38)+SUMIFS('Model Parameters'!$C$2:$C$46,'Model Parameters'!$A$2:$A$46,"gender",'Model Parameters'!$B$2:$B$46,F38)+SUMIFS('Model Parameters'!$C$2:$C$46,'Model Parameters'!$A$2:$A$46,"education",'Model Parameters'!$B$2:$B$46,G38)+SUMIFS('Model Parameters'!$C$2:$C$46,'Model Parameters'!$A$2:$A$46,"purchase_month",'Model Parameters'!$B$2:$B$46,TEXT(H38,"0"))+SUMIFS('Model Parameters'!$C$2:$C$46,'Model Parameters'!$A$2:$A$46,"purchase_day_of_week",'Model Parameters'!$B$2:$B$46,I38),2))</x:f>
      </x:c>
      <x:c r="K38" s="48" t="str">
        <x:f>IF(B38="","",'Model Parameters'!$G$5*((B38-'Model Parameters'!$G$3)/'Model Parameters'!$G$4))</x:f>
      </x:c>
      <x:c r="L38" s="48" t="str">
        <x:f>IF(C38="","",'Model Parameters'!$G$6*IF(C38="Yes",1,0))</x:f>
      </x:c>
      <x:c r="M38" s="48" t="str">
        <x:f>IF(D38="","",SUMIFS('Model Parameters'!$C$2:$C$46,'Model Parameters'!$A$2:$A$46,"entry_product",'Model Parameters'!$B$2:$B$46,D38))</x:f>
      </x:c>
      <x:c r="N38" s="48" t="str">
        <x:f>IF(E38="","",SUMIFS('Model Parameters'!$C$2:$C$46,'Model Parameters'!$A$2:$A$46,"sales_channel",'Model Parameters'!$B$2:$B$46,E38))</x:f>
      </x:c>
      <x:c r="O38" s="48" t="str">
        <x:f>IF(F38="","",SUMIFS('Model Parameters'!$C$2:$C$46,'Model Parameters'!$A$2:$A$46,"gender",'Model Parameters'!$B$2:$B$46,F38))</x:f>
      </x:c>
      <x:c r="P38" s="48" t="str">
        <x:f>IF(G38="","",SUMIFS('Model Parameters'!$C$2:$C$46,'Model Parameters'!$A$2:$A$46,"education",'Model Parameters'!$B$2:$B$46,G38))</x:f>
      </x:c>
      <x:c r="Q38" s="48" t="str">
        <x:f>IF(H38="","",SUMIFS('Model Parameters'!$C$2:$C$46,'Model Parameters'!$A$2:$A$46,"purchase_month",'Model Parameters'!$B$2:$B$46,TEXT(H38,"0")))</x:f>
      </x:c>
      <x:c r="R38" s="48" t="str">
        <x:f>IF(I38="","",SUMIFS('Model Parameters'!$C$2:$C$46,'Model Parameters'!$A$2:$A$46,"purchase_day_of_week",'Model Parameters'!$B$2:$B$46,I38))</x:f>
      </x:c>
      <x:c r="S38" t="str">
        <x:f>IF(COUNTA(B38:I38)=0,"Waiting for input",IF(COUNTA(B38:I38)&lt;8,"Incomplete","Calculated"))</x:f>
        <x:v>Waiting for input</x:v>
      </x:c>
    </x:row>
    <x:row r="39">
      <x:c r="A39" s="36" t="str">
        <x:v>CUST-031</x:v>
      </x:c>
      <x:c r="B39" s="38"/>
      <x:c r="C39" s="36"/>
      <x:c r="D39" s="36"/>
      <x:c r="E39" s="36"/>
      <x:c r="F39" s="36"/>
      <x:c r="G39" s="36"/>
      <x:c r="H39" s="36"/>
      <x:c r="I39" s="36"/>
      <x:c r="J39" s="48" t="str">
        <x:f>IF(COUNTA(B39:I39)&lt;8,"",ROUND('Model Parameters'!$G$2+'Model Parameters'!$G$5*((B39-'Model Parameters'!$G$3)/'Model Parameters'!$G$4)+'Model Parameters'!$G$6*IF(C39="Yes",1,0)+SUMIFS('Model Parameters'!$C$2:$C$46,'Model Parameters'!$A$2:$A$46,"entry_product",'Model Parameters'!$B$2:$B$46,D39)+SUMIFS('Model Parameters'!$C$2:$C$46,'Model Parameters'!$A$2:$A$46,"sales_channel",'Model Parameters'!$B$2:$B$46,E39)+SUMIFS('Model Parameters'!$C$2:$C$46,'Model Parameters'!$A$2:$A$46,"gender",'Model Parameters'!$B$2:$B$46,F39)+SUMIFS('Model Parameters'!$C$2:$C$46,'Model Parameters'!$A$2:$A$46,"education",'Model Parameters'!$B$2:$B$46,G39)+SUMIFS('Model Parameters'!$C$2:$C$46,'Model Parameters'!$A$2:$A$46,"purchase_month",'Model Parameters'!$B$2:$B$46,TEXT(H39,"0"))+SUMIFS('Model Parameters'!$C$2:$C$46,'Model Parameters'!$A$2:$A$46,"purchase_day_of_week",'Model Parameters'!$B$2:$B$46,I39),2))</x:f>
      </x:c>
      <x:c r="K39" s="48" t="str">
        <x:f>IF(B39="","",'Model Parameters'!$G$5*((B39-'Model Parameters'!$G$3)/'Model Parameters'!$G$4))</x:f>
      </x:c>
      <x:c r="L39" s="48" t="str">
        <x:f>IF(C39="","",'Model Parameters'!$G$6*IF(C39="Yes",1,0))</x:f>
      </x:c>
      <x:c r="M39" s="48" t="str">
        <x:f>IF(D39="","",SUMIFS('Model Parameters'!$C$2:$C$46,'Model Parameters'!$A$2:$A$46,"entry_product",'Model Parameters'!$B$2:$B$46,D39))</x:f>
      </x:c>
      <x:c r="N39" s="48" t="str">
        <x:f>IF(E39="","",SUMIFS('Model Parameters'!$C$2:$C$46,'Model Parameters'!$A$2:$A$46,"sales_channel",'Model Parameters'!$B$2:$B$46,E39))</x:f>
      </x:c>
      <x:c r="O39" s="48" t="str">
        <x:f>IF(F39="","",SUMIFS('Model Parameters'!$C$2:$C$46,'Model Parameters'!$A$2:$A$46,"gender",'Model Parameters'!$B$2:$B$46,F39))</x:f>
      </x:c>
      <x:c r="P39" s="48" t="str">
        <x:f>IF(G39="","",SUMIFS('Model Parameters'!$C$2:$C$46,'Model Parameters'!$A$2:$A$46,"education",'Model Parameters'!$B$2:$B$46,G39))</x:f>
      </x:c>
      <x:c r="Q39" s="48" t="str">
        <x:f>IF(H39="","",SUMIFS('Model Parameters'!$C$2:$C$46,'Model Parameters'!$A$2:$A$46,"purchase_month",'Model Parameters'!$B$2:$B$46,TEXT(H39,"0")))</x:f>
      </x:c>
      <x:c r="R39" s="48" t="str">
        <x:f>IF(I39="","",SUMIFS('Model Parameters'!$C$2:$C$46,'Model Parameters'!$A$2:$A$46,"purchase_day_of_week",'Model Parameters'!$B$2:$B$46,I39))</x:f>
      </x:c>
      <x:c r="S39" t="str">
        <x:f>IF(COUNTA(B39:I39)=0,"Waiting for input",IF(COUNTA(B39:I39)&lt;8,"Incomplete","Calculated"))</x:f>
        <x:v>Waiting for input</x:v>
      </x:c>
    </x:row>
    <x:row r="40">
      <x:c r="A40" s="36" t="str">
        <x:v>CUST-032</x:v>
      </x:c>
      <x:c r="B40" s="38"/>
      <x:c r="C40" s="36"/>
      <x:c r="D40" s="36"/>
      <x:c r="E40" s="36"/>
      <x:c r="F40" s="36"/>
      <x:c r="G40" s="36"/>
      <x:c r="H40" s="36"/>
      <x:c r="I40" s="36"/>
      <x:c r="J40" s="48" t="str">
        <x:f>IF(COUNTA(B40:I40)&lt;8,"",ROUND('Model Parameters'!$G$2+'Model Parameters'!$G$5*((B40-'Model Parameters'!$G$3)/'Model Parameters'!$G$4)+'Model Parameters'!$G$6*IF(C40="Yes",1,0)+SUMIFS('Model Parameters'!$C$2:$C$46,'Model Parameters'!$A$2:$A$46,"entry_product",'Model Parameters'!$B$2:$B$46,D40)+SUMIFS('Model Parameters'!$C$2:$C$46,'Model Parameters'!$A$2:$A$46,"sales_channel",'Model Parameters'!$B$2:$B$46,E40)+SUMIFS('Model Parameters'!$C$2:$C$46,'Model Parameters'!$A$2:$A$46,"gender",'Model Parameters'!$B$2:$B$46,F40)+SUMIFS('Model Parameters'!$C$2:$C$46,'Model Parameters'!$A$2:$A$46,"education",'Model Parameters'!$B$2:$B$46,G40)+SUMIFS('Model Parameters'!$C$2:$C$46,'Model Parameters'!$A$2:$A$46,"purchase_month",'Model Parameters'!$B$2:$B$46,TEXT(H40,"0"))+SUMIFS('Model Parameters'!$C$2:$C$46,'Model Parameters'!$A$2:$A$46,"purchase_day_of_week",'Model Parameters'!$B$2:$B$46,I40),2))</x:f>
      </x:c>
      <x:c r="K40" s="48" t="str">
        <x:f>IF(B40="","",'Model Parameters'!$G$5*((B40-'Model Parameters'!$G$3)/'Model Parameters'!$G$4))</x:f>
      </x:c>
      <x:c r="L40" s="48" t="str">
        <x:f>IF(C40="","",'Model Parameters'!$G$6*IF(C40="Yes",1,0))</x:f>
      </x:c>
      <x:c r="M40" s="48" t="str">
        <x:f>IF(D40="","",SUMIFS('Model Parameters'!$C$2:$C$46,'Model Parameters'!$A$2:$A$46,"entry_product",'Model Parameters'!$B$2:$B$46,D40))</x:f>
      </x:c>
      <x:c r="N40" s="48" t="str">
        <x:f>IF(E40="","",SUMIFS('Model Parameters'!$C$2:$C$46,'Model Parameters'!$A$2:$A$46,"sales_channel",'Model Parameters'!$B$2:$B$46,E40))</x:f>
      </x:c>
      <x:c r="O40" s="48" t="str">
        <x:f>IF(F40="","",SUMIFS('Model Parameters'!$C$2:$C$46,'Model Parameters'!$A$2:$A$46,"gender",'Model Parameters'!$B$2:$B$46,F40))</x:f>
      </x:c>
      <x:c r="P40" s="48" t="str">
        <x:f>IF(G40="","",SUMIFS('Model Parameters'!$C$2:$C$46,'Model Parameters'!$A$2:$A$46,"education",'Model Parameters'!$B$2:$B$46,G40))</x:f>
      </x:c>
      <x:c r="Q40" s="48" t="str">
        <x:f>IF(H40="","",SUMIFS('Model Parameters'!$C$2:$C$46,'Model Parameters'!$A$2:$A$46,"purchase_month",'Model Parameters'!$B$2:$B$46,TEXT(H40,"0")))</x:f>
      </x:c>
      <x:c r="R40" s="48" t="str">
        <x:f>IF(I40="","",SUMIFS('Model Parameters'!$C$2:$C$46,'Model Parameters'!$A$2:$A$46,"purchase_day_of_week",'Model Parameters'!$B$2:$B$46,I40))</x:f>
      </x:c>
      <x:c r="S40" t="str">
        <x:f>IF(COUNTA(B40:I40)=0,"Waiting for input",IF(COUNTA(B40:I40)&lt;8,"Incomplete","Calculated"))</x:f>
        <x:v>Waiting for input</x:v>
      </x:c>
    </x:row>
    <x:row r="41">
      <x:c r="A41" s="36" t="str">
        <x:v>CUST-033</x:v>
      </x:c>
      <x:c r="B41" s="38"/>
      <x:c r="C41" s="36"/>
      <x:c r="D41" s="36"/>
      <x:c r="E41" s="36"/>
      <x:c r="F41" s="36"/>
      <x:c r="G41" s="36"/>
      <x:c r="H41" s="36"/>
      <x:c r="I41" s="36"/>
      <x:c r="J41" s="48" t="str">
        <x:f>IF(COUNTA(B41:I41)&lt;8,"",ROUND('Model Parameters'!$G$2+'Model Parameters'!$G$5*((B41-'Model Parameters'!$G$3)/'Model Parameters'!$G$4)+'Model Parameters'!$G$6*IF(C41="Yes",1,0)+SUMIFS('Model Parameters'!$C$2:$C$46,'Model Parameters'!$A$2:$A$46,"entry_product",'Model Parameters'!$B$2:$B$46,D41)+SUMIFS('Model Parameters'!$C$2:$C$46,'Model Parameters'!$A$2:$A$46,"sales_channel",'Model Parameters'!$B$2:$B$46,E41)+SUMIFS('Model Parameters'!$C$2:$C$46,'Model Parameters'!$A$2:$A$46,"gender",'Model Parameters'!$B$2:$B$46,F41)+SUMIFS('Model Parameters'!$C$2:$C$46,'Model Parameters'!$A$2:$A$46,"education",'Model Parameters'!$B$2:$B$46,G41)+SUMIFS('Model Parameters'!$C$2:$C$46,'Model Parameters'!$A$2:$A$46,"purchase_month",'Model Parameters'!$B$2:$B$46,TEXT(H41,"0"))+SUMIFS('Model Parameters'!$C$2:$C$46,'Model Parameters'!$A$2:$A$46,"purchase_day_of_week",'Model Parameters'!$B$2:$B$46,I41),2))</x:f>
      </x:c>
      <x:c r="K41" s="48" t="str">
        <x:f>IF(B41="","",'Model Parameters'!$G$5*((B41-'Model Parameters'!$G$3)/'Model Parameters'!$G$4))</x:f>
      </x:c>
      <x:c r="L41" s="48" t="str">
        <x:f>IF(C41="","",'Model Parameters'!$G$6*IF(C41="Yes",1,0))</x:f>
      </x:c>
      <x:c r="M41" s="48" t="str">
        <x:f>IF(D41="","",SUMIFS('Model Parameters'!$C$2:$C$46,'Model Parameters'!$A$2:$A$46,"entry_product",'Model Parameters'!$B$2:$B$46,D41))</x:f>
      </x:c>
      <x:c r="N41" s="48" t="str">
        <x:f>IF(E41="","",SUMIFS('Model Parameters'!$C$2:$C$46,'Model Parameters'!$A$2:$A$46,"sales_channel",'Model Parameters'!$B$2:$B$46,E41))</x:f>
      </x:c>
      <x:c r="O41" s="48" t="str">
        <x:f>IF(F41="","",SUMIFS('Model Parameters'!$C$2:$C$46,'Model Parameters'!$A$2:$A$46,"gender",'Model Parameters'!$B$2:$B$46,F41))</x:f>
      </x:c>
      <x:c r="P41" s="48" t="str">
        <x:f>IF(G41="","",SUMIFS('Model Parameters'!$C$2:$C$46,'Model Parameters'!$A$2:$A$46,"education",'Model Parameters'!$B$2:$B$46,G41))</x:f>
      </x:c>
      <x:c r="Q41" s="48" t="str">
        <x:f>IF(H41="","",SUMIFS('Model Parameters'!$C$2:$C$46,'Model Parameters'!$A$2:$A$46,"purchase_month",'Model Parameters'!$B$2:$B$46,TEXT(H41,"0")))</x:f>
      </x:c>
      <x:c r="R41" s="48" t="str">
        <x:f>IF(I41="","",SUMIFS('Model Parameters'!$C$2:$C$46,'Model Parameters'!$A$2:$A$46,"purchase_day_of_week",'Model Parameters'!$B$2:$B$46,I41))</x:f>
      </x:c>
      <x:c r="S41" t="str">
        <x:f>IF(COUNTA(B41:I41)=0,"Waiting for input",IF(COUNTA(B41:I41)&lt;8,"Incomplete","Calculated"))</x:f>
        <x:v>Waiting for input</x:v>
      </x:c>
    </x:row>
    <x:row r="42">
      <x:c r="A42" s="36" t="str">
        <x:v>CUST-034</x:v>
      </x:c>
      <x:c r="B42" s="38"/>
      <x:c r="C42" s="36"/>
      <x:c r="D42" s="36"/>
      <x:c r="E42" s="36"/>
      <x:c r="F42" s="36"/>
      <x:c r="G42" s="36"/>
      <x:c r="H42" s="36"/>
      <x:c r="I42" s="36"/>
      <x:c r="J42" s="48" t="str">
        <x:f>IF(COUNTA(B42:I42)&lt;8,"",ROUND('Model Parameters'!$G$2+'Model Parameters'!$G$5*((B42-'Model Parameters'!$G$3)/'Model Parameters'!$G$4)+'Model Parameters'!$G$6*IF(C42="Yes",1,0)+SUMIFS('Model Parameters'!$C$2:$C$46,'Model Parameters'!$A$2:$A$46,"entry_product",'Model Parameters'!$B$2:$B$46,D42)+SUMIFS('Model Parameters'!$C$2:$C$46,'Model Parameters'!$A$2:$A$46,"sales_channel",'Model Parameters'!$B$2:$B$46,E42)+SUMIFS('Model Parameters'!$C$2:$C$46,'Model Parameters'!$A$2:$A$46,"gender",'Model Parameters'!$B$2:$B$46,F42)+SUMIFS('Model Parameters'!$C$2:$C$46,'Model Parameters'!$A$2:$A$46,"education",'Model Parameters'!$B$2:$B$46,G42)+SUMIFS('Model Parameters'!$C$2:$C$46,'Model Parameters'!$A$2:$A$46,"purchase_month",'Model Parameters'!$B$2:$B$46,TEXT(H42,"0"))+SUMIFS('Model Parameters'!$C$2:$C$46,'Model Parameters'!$A$2:$A$46,"purchase_day_of_week",'Model Parameters'!$B$2:$B$46,I42),2))</x:f>
      </x:c>
      <x:c r="K42" s="48" t="str">
        <x:f>IF(B42="","",'Model Parameters'!$G$5*((B42-'Model Parameters'!$G$3)/'Model Parameters'!$G$4))</x:f>
      </x:c>
      <x:c r="L42" s="48" t="str">
        <x:f>IF(C42="","",'Model Parameters'!$G$6*IF(C42="Yes",1,0))</x:f>
      </x:c>
      <x:c r="M42" s="48" t="str">
        <x:f>IF(D42="","",SUMIFS('Model Parameters'!$C$2:$C$46,'Model Parameters'!$A$2:$A$46,"entry_product",'Model Parameters'!$B$2:$B$46,D42))</x:f>
      </x:c>
      <x:c r="N42" s="48" t="str">
        <x:f>IF(E42="","",SUMIFS('Model Parameters'!$C$2:$C$46,'Model Parameters'!$A$2:$A$46,"sales_channel",'Model Parameters'!$B$2:$B$46,E42))</x:f>
      </x:c>
      <x:c r="O42" s="48" t="str">
        <x:f>IF(F42="","",SUMIFS('Model Parameters'!$C$2:$C$46,'Model Parameters'!$A$2:$A$46,"gender",'Model Parameters'!$B$2:$B$46,F42))</x:f>
      </x:c>
      <x:c r="P42" s="48" t="str">
        <x:f>IF(G42="","",SUMIFS('Model Parameters'!$C$2:$C$46,'Model Parameters'!$A$2:$A$46,"education",'Model Parameters'!$B$2:$B$46,G42))</x:f>
      </x:c>
      <x:c r="Q42" s="48" t="str">
        <x:f>IF(H42="","",SUMIFS('Model Parameters'!$C$2:$C$46,'Model Parameters'!$A$2:$A$46,"purchase_month",'Model Parameters'!$B$2:$B$46,TEXT(H42,"0")))</x:f>
      </x:c>
      <x:c r="R42" s="48" t="str">
        <x:f>IF(I42="","",SUMIFS('Model Parameters'!$C$2:$C$46,'Model Parameters'!$A$2:$A$46,"purchase_day_of_week",'Model Parameters'!$B$2:$B$46,I42))</x:f>
      </x:c>
      <x:c r="S42" t="str">
        <x:f>IF(COUNTA(B42:I42)=0,"Waiting for input",IF(COUNTA(B42:I42)&lt;8,"Incomplete","Calculated"))</x:f>
        <x:v>Waiting for input</x:v>
      </x:c>
    </x:row>
    <x:row r="43">
      <x:c r="A43" s="36" t="str">
        <x:v>CUST-035</x:v>
      </x:c>
      <x:c r="B43" s="38"/>
      <x:c r="C43" s="36"/>
      <x:c r="D43" s="36"/>
      <x:c r="E43" s="36"/>
      <x:c r="F43" s="36"/>
      <x:c r="G43" s="36"/>
      <x:c r="H43" s="36"/>
      <x:c r="I43" s="36"/>
      <x:c r="J43" s="48" t="str">
        <x:f>IF(COUNTA(B43:I43)&lt;8,"",ROUND('Model Parameters'!$G$2+'Model Parameters'!$G$5*((B43-'Model Parameters'!$G$3)/'Model Parameters'!$G$4)+'Model Parameters'!$G$6*IF(C43="Yes",1,0)+SUMIFS('Model Parameters'!$C$2:$C$46,'Model Parameters'!$A$2:$A$46,"entry_product",'Model Parameters'!$B$2:$B$46,D43)+SUMIFS('Model Parameters'!$C$2:$C$46,'Model Parameters'!$A$2:$A$46,"sales_channel",'Model Parameters'!$B$2:$B$46,E43)+SUMIFS('Model Parameters'!$C$2:$C$46,'Model Parameters'!$A$2:$A$46,"gender",'Model Parameters'!$B$2:$B$46,F43)+SUMIFS('Model Parameters'!$C$2:$C$46,'Model Parameters'!$A$2:$A$46,"education",'Model Parameters'!$B$2:$B$46,G43)+SUMIFS('Model Parameters'!$C$2:$C$46,'Model Parameters'!$A$2:$A$46,"purchase_month",'Model Parameters'!$B$2:$B$46,TEXT(H43,"0"))+SUMIFS('Model Parameters'!$C$2:$C$46,'Model Parameters'!$A$2:$A$46,"purchase_day_of_week",'Model Parameters'!$B$2:$B$46,I43),2))</x:f>
      </x:c>
      <x:c r="K43" s="48" t="str">
        <x:f>IF(B43="","",'Model Parameters'!$G$5*((B43-'Model Parameters'!$G$3)/'Model Parameters'!$G$4))</x:f>
      </x:c>
      <x:c r="L43" s="48" t="str">
        <x:f>IF(C43="","",'Model Parameters'!$G$6*IF(C43="Yes",1,0))</x:f>
      </x:c>
      <x:c r="M43" s="48" t="str">
        <x:f>IF(D43="","",SUMIFS('Model Parameters'!$C$2:$C$46,'Model Parameters'!$A$2:$A$46,"entry_product",'Model Parameters'!$B$2:$B$46,D43))</x:f>
      </x:c>
      <x:c r="N43" s="48" t="str">
        <x:f>IF(E43="","",SUMIFS('Model Parameters'!$C$2:$C$46,'Model Parameters'!$A$2:$A$46,"sales_channel",'Model Parameters'!$B$2:$B$46,E43))</x:f>
      </x:c>
      <x:c r="O43" s="48" t="str">
        <x:f>IF(F43="","",SUMIFS('Model Parameters'!$C$2:$C$46,'Model Parameters'!$A$2:$A$46,"gender",'Model Parameters'!$B$2:$B$46,F43))</x:f>
      </x:c>
      <x:c r="P43" s="48" t="str">
        <x:f>IF(G43="","",SUMIFS('Model Parameters'!$C$2:$C$46,'Model Parameters'!$A$2:$A$46,"education",'Model Parameters'!$B$2:$B$46,G43))</x:f>
      </x:c>
      <x:c r="Q43" s="48" t="str">
        <x:f>IF(H43="","",SUMIFS('Model Parameters'!$C$2:$C$46,'Model Parameters'!$A$2:$A$46,"purchase_month",'Model Parameters'!$B$2:$B$46,TEXT(H43,"0")))</x:f>
      </x:c>
      <x:c r="R43" s="48" t="str">
        <x:f>IF(I43="","",SUMIFS('Model Parameters'!$C$2:$C$46,'Model Parameters'!$A$2:$A$46,"purchase_day_of_week",'Model Parameters'!$B$2:$B$46,I43))</x:f>
      </x:c>
      <x:c r="S43" t="str">
        <x:f>IF(COUNTA(B43:I43)=0,"Waiting for input",IF(COUNTA(B43:I43)&lt;8,"Incomplete","Calculated"))</x:f>
        <x:v>Waiting for input</x:v>
      </x:c>
    </x:row>
    <x:row r="44">
      <x:c r="A44" s="36" t="str">
        <x:v>CUST-036</x:v>
      </x:c>
      <x:c r="B44" s="38"/>
      <x:c r="C44" s="36"/>
      <x:c r="D44" s="36"/>
      <x:c r="E44" s="36"/>
      <x:c r="F44" s="36"/>
      <x:c r="G44" s="36"/>
      <x:c r="H44" s="36"/>
      <x:c r="I44" s="36"/>
      <x:c r="J44" s="48" t="str">
        <x:f>IF(COUNTA(B44:I44)&lt;8,"",ROUND('Model Parameters'!$G$2+'Model Parameters'!$G$5*((B44-'Model Parameters'!$G$3)/'Model Parameters'!$G$4)+'Model Parameters'!$G$6*IF(C44="Yes",1,0)+SUMIFS('Model Parameters'!$C$2:$C$46,'Model Parameters'!$A$2:$A$46,"entry_product",'Model Parameters'!$B$2:$B$46,D44)+SUMIFS('Model Parameters'!$C$2:$C$46,'Model Parameters'!$A$2:$A$46,"sales_channel",'Model Parameters'!$B$2:$B$46,E44)+SUMIFS('Model Parameters'!$C$2:$C$46,'Model Parameters'!$A$2:$A$46,"gender",'Model Parameters'!$B$2:$B$46,F44)+SUMIFS('Model Parameters'!$C$2:$C$46,'Model Parameters'!$A$2:$A$46,"education",'Model Parameters'!$B$2:$B$46,G44)+SUMIFS('Model Parameters'!$C$2:$C$46,'Model Parameters'!$A$2:$A$46,"purchase_month",'Model Parameters'!$B$2:$B$46,TEXT(H44,"0"))+SUMIFS('Model Parameters'!$C$2:$C$46,'Model Parameters'!$A$2:$A$46,"purchase_day_of_week",'Model Parameters'!$B$2:$B$46,I44),2))</x:f>
      </x:c>
      <x:c r="K44" s="48" t="str">
        <x:f>IF(B44="","",'Model Parameters'!$G$5*((B44-'Model Parameters'!$G$3)/'Model Parameters'!$G$4))</x:f>
      </x:c>
      <x:c r="L44" s="48" t="str">
        <x:f>IF(C44="","",'Model Parameters'!$G$6*IF(C44="Yes",1,0))</x:f>
      </x:c>
      <x:c r="M44" s="48" t="str">
        <x:f>IF(D44="","",SUMIFS('Model Parameters'!$C$2:$C$46,'Model Parameters'!$A$2:$A$46,"entry_product",'Model Parameters'!$B$2:$B$46,D44))</x:f>
      </x:c>
      <x:c r="N44" s="48" t="str">
        <x:f>IF(E44="","",SUMIFS('Model Parameters'!$C$2:$C$46,'Model Parameters'!$A$2:$A$46,"sales_channel",'Model Parameters'!$B$2:$B$46,E44))</x:f>
      </x:c>
      <x:c r="O44" s="48" t="str">
        <x:f>IF(F44="","",SUMIFS('Model Parameters'!$C$2:$C$46,'Model Parameters'!$A$2:$A$46,"gender",'Model Parameters'!$B$2:$B$46,F44))</x:f>
      </x:c>
      <x:c r="P44" s="48" t="str">
        <x:f>IF(G44="","",SUMIFS('Model Parameters'!$C$2:$C$46,'Model Parameters'!$A$2:$A$46,"education",'Model Parameters'!$B$2:$B$46,G44))</x:f>
      </x:c>
      <x:c r="Q44" s="48" t="str">
        <x:f>IF(H44="","",SUMIFS('Model Parameters'!$C$2:$C$46,'Model Parameters'!$A$2:$A$46,"purchase_month",'Model Parameters'!$B$2:$B$46,TEXT(H44,"0")))</x:f>
      </x:c>
      <x:c r="R44" s="48" t="str">
        <x:f>IF(I44="","",SUMIFS('Model Parameters'!$C$2:$C$46,'Model Parameters'!$A$2:$A$46,"purchase_day_of_week",'Model Parameters'!$B$2:$B$46,I44))</x:f>
      </x:c>
      <x:c r="S44" t="str">
        <x:f>IF(COUNTA(B44:I44)=0,"Waiting for input",IF(COUNTA(B44:I44)&lt;8,"Incomplete","Calculated"))</x:f>
        <x:v>Waiting for input</x:v>
      </x:c>
    </x:row>
    <x:row r="45">
      <x:c r="A45" s="36" t="str">
        <x:v>CUST-037</x:v>
      </x:c>
      <x:c r="B45" s="38"/>
      <x:c r="C45" s="36"/>
      <x:c r="D45" s="36"/>
      <x:c r="E45" s="36"/>
      <x:c r="F45" s="36"/>
      <x:c r="G45" s="36"/>
      <x:c r="H45" s="36"/>
      <x:c r="I45" s="36"/>
      <x:c r="J45" s="48" t="str">
        <x:f>IF(COUNTA(B45:I45)&lt;8,"",ROUND('Model Parameters'!$G$2+'Model Parameters'!$G$5*((B45-'Model Parameters'!$G$3)/'Model Parameters'!$G$4)+'Model Parameters'!$G$6*IF(C45="Yes",1,0)+SUMIFS('Model Parameters'!$C$2:$C$46,'Model Parameters'!$A$2:$A$46,"entry_product",'Model Parameters'!$B$2:$B$46,D45)+SUMIFS('Model Parameters'!$C$2:$C$46,'Model Parameters'!$A$2:$A$46,"sales_channel",'Model Parameters'!$B$2:$B$46,E45)+SUMIFS('Model Parameters'!$C$2:$C$46,'Model Parameters'!$A$2:$A$46,"gender",'Model Parameters'!$B$2:$B$46,F45)+SUMIFS('Model Parameters'!$C$2:$C$46,'Model Parameters'!$A$2:$A$46,"education",'Model Parameters'!$B$2:$B$46,G45)+SUMIFS('Model Parameters'!$C$2:$C$46,'Model Parameters'!$A$2:$A$46,"purchase_month",'Model Parameters'!$B$2:$B$46,TEXT(H45,"0"))+SUMIFS('Model Parameters'!$C$2:$C$46,'Model Parameters'!$A$2:$A$46,"purchase_day_of_week",'Model Parameters'!$B$2:$B$46,I45),2))</x:f>
      </x:c>
      <x:c r="K45" s="48" t="str">
        <x:f>IF(B45="","",'Model Parameters'!$G$5*((B45-'Model Parameters'!$G$3)/'Model Parameters'!$G$4))</x:f>
      </x:c>
      <x:c r="L45" s="48" t="str">
        <x:f>IF(C45="","",'Model Parameters'!$G$6*IF(C45="Yes",1,0))</x:f>
      </x:c>
      <x:c r="M45" s="48" t="str">
        <x:f>IF(D45="","",SUMIFS('Model Parameters'!$C$2:$C$46,'Model Parameters'!$A$2:$A$46,"entry_product",'Model Parameters'!$B$2:$B$46,D45))</x:f>
      </x:c>
      <x:c r="N45" s="48" t="str">
        <x:f>IF(E45="","",SUMIFS('Model Parameters'!$C$2:$C$46,'Model Parameters'!$A$2:$A$46,"sales_channel",'Model Parameters'!$B$2:$B$46,E45))</x:f>
      </x:c>
      <x:c r="O45" s="48" t="str">
        <x:f>IF(F45="","",SUMIFS('Model Parameters'!$C$2:$C$46,'Model Parameters'!$A$2:$A$46,"gender",'Model Parameters'!$B$2:$B$46,F45))</x:f>
      </x:c>
      <x:c r="P45" s="48" t="str">
        <x:f>IF(G45="","",SUMIFS('Model Parameters'!$C$2:$C$46,'Model Parameters'!$A$2:$A$46,"education",'Model Parameters'!$B$2:$B$46,G45))</x:f>
      </x:c>
      <x:c r="Q45" s="48" t="str">
        <x:f>IF(H45="","",SUMIFS('Model Parameters'!$C$2:$C$46,'Model Parameters'!$A$2:$A$46,"purchase_month",'Model Parameters'!$B$2:$B$46,TEXT(H45,"0")))</x:f>
      </x:c>
      <x:c r="R45" s="48" t="str">
        <x:f>IF(I45="","",SUMIFS('Model Parameters'!$C$2:$C$46,'Model Parameters'!$A$2:$A$46,"purchase_day_of_week",'Model Parameters'!$B$2:$B$46,I45))</x:f>
      </x:c>
      <x:c r="S45" t="str">
        <x:f>IF(COUNTA(B45:I45)=0,"Waiting for input",IF(COUNTA(B45:I45)&lt;8,"Incomplete","Calculated"))</x:f>
        <x:v>Waiting for input</x:v>
      </x:c>
    </x:row>
    <x:row r="46">
      <x:c r="A46" s="36" t="str">
        <x:v>CUST-038</x:v>
      </x:c>
      <x:c r="B46" s="38"/>
      <x:c r="C46" s="36"/>
      <x:c r="D46" s="36"/>
      <x:c r="E46" s="36"/>
      <x:c r="F46" s="36"/>
      <x:c r="G46" s="36"/>
      <x:c r="H46" s="36"/>
      <x:c r="I46" s="36"/>
      <x:c r="J46" s="48" t="str">
        <x:f>IF(COUNTA(B46:I46)&lt;8,"",ROUND('Model Parameters'!$G$2+'Model Parameters'!$G$5*((B46-'Model Parameters'!$G$3)/'Model Parameters'!$G$4)+'Model Parameters'!$G$6*IF(C46="Yes",1,0)+SUMIFS('Model Parameters'!$C$2:$C$46,'Model Parameters'!$A$2:$A$46,"entry_product",'Model Parameters'!$B$2:$B$46,D46)+SUMIFS('Model Parameters'!$C$2:$C$46,'Model Parameters'!$A$2:$A$46,"sales_channel",'Model Parameters'!$B$2:$B$46,E46)+SUMIFS('Model Parameters'!$C$2:$C$46,'Model Parameters'!$A$2:$A$46,"gender",'Model Parameters'!$B$2:$B$46,F46)+SUMIFS('Model Parameters'!$C$2:$C$46,'Model Parameters'!$A$2:$A$46,"education",'Model Parameters'!$B$2:$B$46,G46)+SUMIFS('Model Parameters'!$C$2:$C$46,'Model Parameters'!$A$2:$A$46,"purchase_month",'Model Parameters'!$B$2:$B$46,TEXT(H46,"0"))+SUMIFS('Model Parameters'!$C$2:$C$46,'Model Parameters'!$A$2:$A$46,"purchase_day_of_week",'Model Parameters'!$B$2:$B$46,I46),2))</x:f>
      </x:c>
      <x:c r="K46" s="48" t="str">
        <x:f>IF(B46="","",'Model Parameters'!$G$5*((B46-'Model Parameters'!$G$3)/'Model Parameters'!$G$4))</x:f>
      </x:c>
      <x:c r="L46" s="48" t="str">
        <x:f>IF(C46="","",'Model Parameters'!$G$6*IF(C46="Yes",1,0))</x:f>
      </x:c>
      <x:c r="M46" s="48" t="str">
        <x:f>IF(D46="","",SUMIFS('Model Parameters'!$C$2:$C$46,'Model Parameters'!$A$2:$A$46,"entry_product",'Model Parameters'!$B$2:$B$46,D46))</x:f>
      </x:c>
      <x:c r="N46" s="48" t="str">
        <x:f>IF(E46="","",SUMIFS('Model Parameters'!$C$2:$C$46,'Model Parameters'!$A$2:$A$46,"sales_channel",'Model Parameters'!$B$2:$B$46,E46))</x:f>
      </x:c>
      <x:c r="O46" s="48" t="str">
        <x:f>IF(F46="","",SUMIFS('Model Parameters'!$C$2:$C$46,'Model Parameters'!$A$2:$A$46,"gender",'Model Parameters'!$B$2:$B$46,F46))</x:f>
      </x:c>
      <x:c r="P46" s="48" t="str">
        <x:f>IF(G46="","",SUMIFS('Model Parameters'!$C$2:$C$46,'Model Parameters'!$A$2:$A$46,"education",'Model Parameters'!$B$2:$B$46,G46))</x:f>
      </x:c>
      <x:c r="Q46" s="48" t="str">
        <x:f>IF(H46="","",SUMIFS('Model Parameters'!$C$2:$C$46,'Model Parameters'!$A$2:$A$46,"purchase_month",'Model Parameters'!$B$2:$B$46,TEXT(H46,"0")))</x:f>
      </x:c>
      <x:c r="R46" s="48" t="str">
        <x:f>IF(I46="","",SUMIFS('Model Parameters'!$C$2:$C$46,'Model Parameters'!$A$2:$A$46,"purchase_day_of_week",'Model Parameters'!$B$2:$B$46,I46))</x:f>
      </x:c>
      <x:c r="S46" t="str">
        <x:f>IF(COUNTA(B46:I46)=0,"Waiting for input",IF(COUNTA(B46:I46)&lt;8,"Incomplete","Calculated"))</x:f>
        <x:v>Waiting for input</x:v>
      </x:c>
    </x:row>
    <x:row r="47">
      <x:c r="A47" s="36" t="str">
        <x:v>CUST-039</x:v>
      </x:c>
      <x:c r="B47" s="38"/>
      <x:c r="C47" s="36"/>
      <x:c r="D47" s="36"/>
      <x:c r="E47" s="36"/>
      <x:c r="F47" s="36"/>
      <x:c r="G47" s="36"/>
      <x:c r="H47" s="36"/>
      <x:c r="I47" s="36"/>
      <x:c r="J47" s="48" t="str">
        <x:f>IF(COUNTA(B47:I47)&lt;8,"",ROUND('Model Parameters'!$G$2+'Model Parameters'!$G$5*((B47-'Model Parameters'!$G$3)/'Model Parameters'!$G$4)+'Model Parameters'!$G$6*IF(C47="Yes",1,0)+SUMIFS('Model Parameters'!$C$2:$C$46,'Model Parameters'!$A$2:$A$46,"entry_product",'Model Parameters'!$B$2:$B$46,D47)+SUMIFS('Model Parameters'!$C$2:$C$46,'Model Parameters'!$A$2:$A$46,"sales_channel",'Model Parameters'!$B$2:$B$46,E47)+SUMIFS('Model Parameters'!$C$2:$C$46,'Model Parameters'!$A$2:$A$46,"gender",'Model Parameters'!$B$2:$B$46,F47)+SUMIFS('Model Parameters'!$C$2:$C$46,'Model Parameters'!$A$2:$A$46,"education",'Model Parameters'!$B$2:$B$46,G47)+SUMIFS('Model Parameters'!$C$2:$C$46,'Model Parameters'!$A$2:$A$46,"purchase_month",'Model Parameters'!$B$2:$B$46,TEXT(H47,"0"))+SUMIFS('Model Parameters'!$C$2:$C$46,'Model Parameters'!$A$2:$A$46,"purchase_day_of_week",'Model Parameters'!$B$2:$B$46,I47),2))</x:f>
      </x:c>
      <x:c r="K47" s="48" t="str">
        <x:f>IF(B47="","",'Model Parameters'!$G$5*((B47-'Model Parameters'!$G$3)/'Model Parameters'!$G$4))</x:f>
      </x:c>
      <x:c r="L47" s="48" t="str">
        <x:f>IF(C47="","",'Model Parameters'!$G$6*IF(C47="Yes",1,0))</x:f>
      </x:c>
      <x:c r="M47" s="48" t="str">
        <x:f>IF(D47="","",SUMIFS('Model Parameters'!$C$2:$C$46,'Model Parameters'!$A$2:$A$46,"entry_product",'Model Parameters'!$B$2:$B$46,D47))</x:f>
      </x:c>
      <x:c r="N47" s="48" t="str">
        <x:f>IF(E47="","",SUMIFS('Model Parameters'!$C$2:$C$46,'Model Parameters'!$A$2:$A$46,"sales_channel",'Model Parameters'!$B$2:$B$46,E47))</x:f>
      </x:c>
      <x:c r="O47" s="48" t="str">
        <x:f>IF(F47="","",SUMIFS('Model Parameters'!$C$2:$C$46,'Model Parameters'!$A$2:$A$46,"gender",'Model Parameters'!$B$2:$B$46,F47))</x:f>
      </x:c>
      <x:c r="P47" s="48" t="str">
        <x:f>IF(G47="","",SUMIFS('Model Parameters'!$C$2:$C$46,'Model Parameters'!$A$2:$A$46,"education",'Model Parameters'!$B$2:$B$46,G47))</x:f>
      </x:c>
      <x:c r="Q47" s="48" t="str">
        <x:f>IF(H47="","",SUMIFS('Model Parameters'!$C$2:$C$46,'Model Parameters'!$A$2:$A$46,"purchase_month",'Model Parameters'!$B$2:$B$46,TEXT(H47,"0")))</x:f>
      </x:c>
      <x:c r="R47" s="48" t="str">
        <x:f>IF(I47="","",SUMIFS('Model Parameters'!$C$2:$C$46,'Model Parameters'!$A$2:$A$46,"purchase_day_of_week",'Model Parameters'!$B$2:$B$46,I47))</x:f>
      </x:c>
      <x:c r="S47" t="str">
        <x:f>IF(COUNTA(B47:I47)=0,"Waiting for input",IF(COUNTA(B47:I47)&lt;8,"Incomplete","Calculated"))</x:f>
        <x:v>Waiting for input</x:v>
      </x:c>
    </x:row>
    <x:row r="48">
      <x:c r="A48" s="36" t="str">
        <x:v>CUST-040</x:v>
      </x:c>
      <x:c r="B48" s="38"/>
      <x:c r="C48" s="36"/>
      <x:c r="D48" s="36"/>
      <x:c r="E48" s="36"/>
      <x:c r="F48" s="36"/>
      <x:c r="G48" s="36"/>
      <x:c r="H48" s="36"/>
      <x:c r="I48" s="36"/>
      <x:c r="J48" s="48" t="str">
        <x:f>IF(COUNTA(B48:I48)&lt;8,"",ROUND('Model Parameters'!$G$2+'Model Parameters'!$G$5*((B48-'Model Parameters'!$G$3)/'Model Parameters'!$G$4)+'Model Parameters'!$G$6*IF(C48="Yes",1,0)+SUMIFS('Model Parameters'!$C$2:$C$46,'Model Parameters'!$A$2:$A$46,"entry_product",'Model Parameters'!$B$2:$B$46,D48)+SUMIFS('Model Parameters'!$C$2:$C$46,'Model Parameters'!$A$2:$A$46,"sales_channel",'Model Parameters'!$B$2:$B$46,E48)+SUMIFS('Model Parameters'!$C$2:$C$46,'Model Parameters'!$A$2:$A$46,"gender",'Model Parameters'!$B$2:$B$46,F48)+SUMIFS('Model Parameters'!$C$2:$C$46,'Model Parameters'!$A$2:$A$46,"education",'Model Parameters'!$B$2:$B$46,G48)+SUMIFS('Model Parameters'!$C$2:$C$46,'Model Parameters'!$A$2:$A$46,"purchase_month",'Model Parameters'!$B$2:$B$46,TEXT(H48,"0"))+SUMIFS('Model Parameters'!$C$2:$C$46,'Model Parameters'!$A$2:$A$46,"purchase_day_of_week",'Model Parameters'!$B$2:$B$46,I48),2))</x:f>
      </x:c>
      <x:c r="K48" s="48" t="str">
        <x:f>IF(B48="","",'Model Parameters'!$G$5*((B48-'Model Parameters'!$G$3)/'Model Parameters'!$G$4))</x:f>
      </x:c>
      <x:c r="L48" s="48" t="str">
        <x:f>IF(C48="","",'Model Parameters'!$G$6*IF(C48="Yes",1,0))</x:f>
      </x:c>
      <x:c r="M48" s="48" t="str">
        <x:f>IF(D48="","",SUMIFS('Model Parameters'!$C$2:$C$46,'Model Parameters'!$A$2:$A$46,"entry_product",'Model Parameters'!$B$2:$B$46,D48))</x:f>
      </x:c>
      <x:c r="N48" s="48" t="str">
        <x:f>IF(E48="","",SUMIFS('Model Parameters'!$C$2:$C$46,'Model Parameters'!$A$2:$A$46,"sales_channel",'Model Parameters'!$B$2:$B$46,E48))</x:f>
      </x:c>
      <x:c r="O48" s="48" t="str">
        <x:f>IF(F48="","",SUMIFS('Model Parameters'!$C$2:$C$46,'Model Parameters'!$A$2:$A$46,"gender",'Model Parameters'!$B$2:$B$46,F48))</x:f>
      </x:c>
      <x:c r="P48" s="48" t="str">
        <x:f>IF(G48="","",SUMIFS('Model Parameters'!$C$2:$C$46,'Model Parameters'!$A$2:$A$46,"education",'Model Parameters'!$B$2:$B$46,G48))</x:f>
      </x:c>
      <x:c r="Q48" s="48" t="str">
        <x:f>IF(H48="","",SUMIFS('Model Parameters'!$C$2:$C$46,'Model Parameters'!$A$2:$A$46,"purchase_month",'Model Parameters'!$B$2:$B$46,TEXT(H48,"0")))</x:f>
      </x:c>
      <x:c r="R48" s="48" t="str">
        <x:f>IF(I48="","",SUMIFS('Model Parameters'!$C$2:$C$46,'Model Parameters'!$A$2:$A$46,"purchase_day_of_week",'Model Parameters'!$B$2:$B$46,I48))</x:f>
      </x:c>
      <x:c r="S48" t="str">
        <x:f>IF(COUNTA(B48:I48)=0,"Waiting for input",IF(COUNTA(B48:I48)&lt;8,"Incomplete","Calculated"))</x:f>
        <x:v>Waiting for input</x:v>
      </x:c>
    </x:row>
    <x:row r="49">
      <x:c r="A49" s="36" t="str">
        <x:v>CUST-041</x:v>
      </x:c>
      <x:c r="B49" s="38"/>
      <x:c r="C49" s="36"/>
      <x:c r="D49" s="36"/>
      <x:c r="E49" s="36"/>
      <x:c r="F49" s="36"/>
      <x:c r="G49" s="36"/>
      <x:c r="H49" s="36"/>
      <x:c r="I49" s="36"/>
      <x:c r="J49" s="48" t="str">
        <x:f>IF(COUNTA(B49:I49)&lt;8,"",ROUND('Model Parameters'!$G$2+'Model Parameters'!$G$5*((B49-'Model Parameters'!$G$3)/'Model Parameters'!$G$4)+'Model Parameters'!$G$6*IF(C49="Yes",1,0)+SUMIFS('Model Parameters'!$C$2:$C$46,'Model Parameters'!$A$2:$A$46,"entry_product",'Model Parameters'!$B$2:$B$46,D49)+SUMIFS('Model Parameters'!$C$2:$C$46,'Model Parameters'!$A$2:$A$46,"sales_channel",'Model Parameters'!$B$2:$B$46,E49)+SUMIFS('Model Parameters'!$C$2:$C$46,'Model Parameters'!$A$2:$A$46,"gender",'Model Parameters'!$B$2:$B$46,F49)+SUMIFS('Model Parameters'!$C$2:$C$46,'Model Parameters'!$A$2:$A$46,"education",'Model Parameters'!$B$2:$B$46,G49)+SUMIFS('Model Parameters'!$C$2:$C$46,'Model Parameters'!$A$2:$A$46,"purchase_month",'Model Parameters'!$B$2:$B$46,TEXT(H49,"0"))+SUMIFS('Model Parameters'!$C$2:$C$46,'Model Parameters'!$A$2:$A$46,"purchase_day_of_week",'Model Parameters'!$B$2:$B$46,I49),2))</x:f>
      </x:c>
      <x:c r="K49" s="48" t="str">
        <x:f>IF(B49="","",'Model Parameters'!$G$5*((B49-'Model Parameters'!$G$3)/'Model Parameters'!$G$4))</x:f>
      </x:c>
      <x:c r="L49" s="48" t="str">
        <x:f>IF(C49="","",'Model Parameters'!$G$6*IF(C49="Yes",1,0))</x:f>
      </x:c>
      <x:c r="M49" s="48" t="str">
        <x:f>IF(D49="","",SUMIFS('Model Parameters'!$C$2:$C$46,'Model Parameters'!$A$2:$A$46,"entry_product",'Model Parameters'!$B$2:$B$46,D49))</x:f>
      </x:c>
      <x:c r="N49" s="48" t="str">
        <x:f>IF(E49="","",SUMIFS('Model Parameters'!$C$2:$C$46,'Model Parameters'!$A$2:$A$46,"sales_channel",'Model Parameters'!$B$2:$B$46,E49))</x:f>
      </x:c>
      <x:c r="O49" s="48" t="str">
        <x:f>IF(F49="","",SUMIFS('Model Parameters'!$C$2:$C$46,'Model Parameters'!$A$2:$A$46,"gender",'Model Parameters'!$B$2:$B$46,F49))</x:f>
      </x:c>
      <x:c r="P49" s="48" t="str">
        <x:f>IF(G49="","",SUMIFS('Model Parameters'!$C$2:$C$46,'Model Parameters'!$A$2:$A$46,"education",'Model Parameters'!$B$2:$B$46,G49))</x:f>
      </x:c>
      <x:c r="Q49" s="48" t="str">
        <x:f>IF(H49="","",SUMIFS('Model Parameters'!$C$2:$C$46,'Model Parameters'!$A$2:$A$46,"purchase_month",'Model Parameters'!$B$2:$B$46,TEXT(H49,"0")))</x:f>
      </x:c>
      <x:c r="R49" s="48" t="str">
        <x:f>IF(I49="","",SUMIFS('Model Parameters'!$C$2:$C$46,'Model Parameters'!$A$2:$A$46,"purchase_day_of_week",'Model Parameters'!$B$2:$B$46,I49))</x:f>
      </x:c>
      <x:c r="S49" t="str">
        <x:f>IF(COUNTA(B49:I49)=0,"Waiting for input",IF(COUNTA(B49:I49)&lt;8,"Incomplete","Calculated"))</x:f>
        <x:v>Waiting for input</x:v>
      </x:c>
    </x:row>
    <x:row r="50">
      <x:c r="A50" s="36" t="str">
        <x:v>CUST-042</x:v>
      </x:c>
      <x:c r="B50" s="38"/>
      <x:c r="C50" s="36"/>
      <x:c r="D50" s="36"/>
      <x:c r="E50" s="36"/>
      <x:c r="F50" s="36"/>
      <x:c r="G50" s="36"/>
      <x:c r="H50" s="36"/>
      <x:c r="I50" s="36"/>
      <x:c r="J50" s="48" t="str">
        <x:f>IF(COUNTA(B50:I50)&lt;8,"",ROUND('Model Parameters'!$G$2+'Model Parameters'!$G$5*((B50-'Model Parameters'!$G$3)/'Model Parameters'!$G$4)+'Model Parameters'!$G$6*IF(C50="Yes",1,0)+SUMIFS('Model Parameters'!$C$2:$C$46,'Model Parameters'!$A$2:$A$46,"entry_product",'Model Parameters'!$B$2:$B$46,D50)+SUMIFS('Model Parameters'!$C$2:$C$46,'Model Parameters'!$A$2:$A$46,"sales_channel",'Model Parameters'!$B$2:$B$46,E50)+SUMIFS('Model Parameters'!$C$2:$C$46,'Model Parameters'!$A$2:$A$46,"gender",'Model Parameters'!$B$2:$B$46,F50)+SUMIFS('Model Parameters'!$C$2:$C$46,'Model Parameters'!$A$2:$A$46,"education",'Model Parameters'!$B$2:$B$46,G50)+SUMIFS('Model Parameters'!$C$2:$C$46,'Model Parameters'!$A$2:$A$46,"purchase_month",'Model Parameters'!$B$2:$B$46,TEXT(H50,"0"))+SUMIFS('Model Parameters'!$C$2:$C$46,'Model Parameters'!$A$2:$A$46,"purchase_day_of_week",'Model Parameters'!$B$2:$B$46,I50),2))</x:f>
      </x:c>
      <x:c r="K50" s="48" t="str">
        <x:f>IF(B50="","",'Model Parameters'!$G$5*((B50-'Model Parameters'!$G$3)/'Model Parameters'!$G$4))</x:f>
      </x:c>
      <x:c r="L50" s="48" t="str">
        <x:f>IF(C50="","",'Model Parameters'!$G$6*IF(C50="Yes",1,0))</x:f>
      </x:c>
      <x:c r="M50" s="48" t="str">
        <x:f>IF(D50="","",SUMIFS('Model Parameters'!$C$2:$C$46,'Model Parameters'!$A$2:$A$46,"entry_product",'Model Parameters'!$B$2:$B$46,D50))</x:f>
      </x:c>
      <x:c r="N50" s="48" t="str">
        <x:f>IF(E50="","",SUMIFS('Model Parameters'!$C$2:$C$46,'Model Parameters'!$A$2:$A$46,"sales_channel",'Model Parameters'!$B$2:$B$46,E50))</x:f>
      </x:c>
      <x:c r="O50" s="48" t="str">
        <x:f>IF(F50="","",SUMIFS('Model Parameters'!$C$2:$C$46,'Model Parameters'!$A$2:$A$46,"gender",'Model Parameters'!$B$2:$B$46,F50))</x:f>
      </x:c>
      <x:c r="P50" s="48" t="str">
        <x:f>IF(G50="","",SUMIFS('Model Parameters'!$C$2:$C$46,'Model Parameters'!$A$2:$A$46,"education",'Model Parameters'!$B$2:$B$46,G50))</x:f>
      </x:c>
      <x:c r="Q50" s="48" t="str">
        <x:f>IF(H50="","",SUMIFS('Model Parameters'!$C$2:$C$46,'Model Parameters'!$A$2:$A$46,"purchase_month",'Model Parameters'!$B$2:$B$46,TEXT(H50,"0")))</x:f>
      </x:c>
      <x:c r="R50" s="48" t="str">
        <x:f>IF(I50="","",SUMIFS('Model Parameters'!$C$2:$C$46,'Model Parameters'!$A$2:$A$46,"purchase_day_of_week",'Model Parameters'!$B$2:$B$46,I50))</x:f>
      </x:c>
      <x:c r="S50" t="str">
        <x:f>IF(COUNTA(B50:I50)=0,"Waiting for input",IF(COUNTA(B50:I50)&lt;8,"Incomplete","Calculated"))</x:f>
        <x:v>Waiting for input</x:v>
      </x:c>
    </x:row>
    <x:row r="51">
      <x:c r="A51" s="36" t="str">
        <x:v>CUST-043</x:v>
      </x:c>
      <x:c r="B51" s="38"/>
      <x:c r="C51" s="36"/>
      <x:c r="D51" s="36"/>
      <x:c r="E51" s="36"/>
      <x:c r="F51" s="36"/>
      <x:c r="G51" s="36"/>
      <x:c r="H51" s="36"/>
      <x:c r="I51" s="36"/>
      <x:c r="J51" s="48" t="str">
        <x:f>IF(COUNTA(B51:I51)&lt;8,"",ROUND('Model Parameters'!$G$2+'Model Parameters'!$G$5*((B51-'Model Parameters'!$G$3)/'Model Parameters'!$G$4)+'Model Parameters'!$G$6*IF(C51="Yes",1,0)+SUMIFS('Model Parameters'!$C$2:$C$46,'Model Parameters'!$A$2:$A$46,"entry_product",'Model Parameters'!$B$2:$B$46,D51)+SUMIFS('Model Parameters'!$C$2:$C$46,'Model Parameters'!$A$2:$A$46,"sales_channel",'Model Parameters'!$B$2:$B$46,E51)+SUMIFS('Model Parameters'!$C$2:$C$46,'Model Parameters'!$A$2:$A$46,"gender",'Model Parameters'!$B$2:$B$46,F51)+SUMIFS('Model Parameters'!$C$2:$C$46,'Model Parameters'!$A$2:$A$46,"education",'Model Parameters'!$B$2:$B$46,G51)+SUMIFS('Model Parameters'!$C$2:$C$46,'Model Parameters'!$A$2:$A$46,"purchase_month",'Model Parameters'!$B$2:$B$46,TEXT(H51,"0"))+SUMIFS('Model Parameters'!$C$2:$C$46,'Model Parameters'!$A$2:$A$46,"purchase_day_of_week",'Model Parameters'!$B$2:$B$46,I51),2))</x:f>
      </x:c>
      <x:c r="K51" s="48" t="str">
        <x:f>IF(B51="","",'Model Parameters'!$G$5*((B51-'Model Parameters'!$G$3)/'Model Parameters'!$G$4))</x:f>
      </x:c>
      <x:c r="L51" s="48" t="str">
        <x:f>IF(C51="","",'Model Parameters'!$G$6*IF(C51="Yes",1,0))</x:f>
      </x:c>
      <x:c r="M51" s="48" t="str">
        <x:f>IF(D51="","",SUMIFS('Model Parameters'!$C$2:$C$46,'Model Parameters'!$A$2:$A$46,"entry_product",'Model Parameters'!$B$2:$B$46,D51))</x:f>
      </x:c>
      <x:c r="N51" s="48" t="str">
        <x:f>IF(E51="","",SUMIFS('Model Parameters'!$C$2:$C$46,'Model Parameters'!$A$2:$A$46,"sales_channel",'Model Parameters'!$B$2:$B$46,E51))</x:f>
      </x:c>
      <x:c r="O51" s="48" t="str">
        <x:f>IF(F51="","",SUMIFS('Model Parameters'!$C$2:$C$46,'Model Parameters'!$A$2:$A$46,"gender",'Model Parameters'!$B$2:$B$46,F51))</x:f>
      </x:c>
      <x:c r="P51" s="48" t="str">
        <x:f>IF(G51="","",SUMIFS('Model Parameters'!$C$2:$C$46,'Model Parameters'!$A$2:$A$46,"education",'Model Parameters'!$B$2:$B$46,G51))</x:f>
      </x:c>
      <x:c r="Q51" s="48" t="str">
        <x:f>IF(H51="","",SUMIFS('Model Parameters'!$C$2:$C$46,'Model Parameters'!$A$2:$A$46,"purchase_month",'Model Parameters'!$B$2:$B$46,TEXT(H51,"0")))</x:f>
      </x:c>
      <x:c r="R51" s="48" t="str">
        <x:f>IF(I51="","",SUMIFS('Model Parameters'!$C$2:$C$46,'Model Parameters'!$A$2:$A$46,"purchase_day_of_week",'Model Parameters'!$B$2:$B$46,I51))</x:f>
      </x:c>
      <x:c r="S51" t="str">
        <x:f>IF(COUNTA(B51:I51)=0,"Waiting for input",IF(COUNTA(B51:I51)&lt;8,"Incomplete","Calculated"))</x:f>
        <x:v>Waiting for input</x:v>
      </x:c>
    </x:row>
    <x:row r="52">
      <x:c r="A52" s="36" t="str">
        <x:v>CUST-044</x:v>
      </x:c>
      <x:c r="B52" s="38"/>
      <x:c r="C52" s="36"/>
      <x:c r="D52" s="36"/>
      <x:c r="E52" s="36"/>
      <x:c r="F52" s="36"/>
      <x:c r="G52" s="36"/>
      <x:c r="H52" s="36"/>
      <x:c r="I52" s="36"/>
      <x:c r="J52" s="48" t="str">
        <x:f>IF(COUNTA(B52:I52)&lt;8,"",ROUND('Model Parameters'!$G$2+'Model Parameters'!$G$5*((B52-'Model Parameters'!$G$3)/'Model Parameters'!$G$4)+'Model Parameters'!$G$6*IF(C52="Yes",1,0)+SUMIFS('Model Parameters'!$C$2:$C$46,'Model Parameters'!$A$2:$A$46,"entry_product",'Model Parameters'!$B$2:$B$46,D52)+SUMIFS('Model Parameters'!$C$2:$C$46,'Model Parameters'!$A$2:$A$46,"sales_channel",'Model Parameters'!$B$2:$B$46,E52)+SUMIFS('Model Parameters'!$C$2:$C$46,'Model Parameters'!$A$2:$A$46,"gender",'Model Parameters'!$B$2:$B$46,F52)+SUMIFS('Model Parameters'!$C$2:$C$46,'Model Parameters'!$A$2:$A$46,"education",'Model Parameters'!$B$2:$B$46,G52)+SUMIFS('Model Parameters'!$C$2:$C$46,'Model Parameters'!$A$2:$A$46,"purchase_month",'Model Parameters'!$B$2:$B$46,TEXT(H52,"0"))+SUMIFS('Model Parameters'!$C$2:$C$46,'Model Parameters'!$A$2:$A$46,"purchase_day_of_week",'Model Parameters'!$B$2:$B$46,I52),2))</x:f>
      </x:c>
      <x:c r="K52" s="48" t="str">
        <x:f>IF(B52="","",'Model Parameters'!$G$5*((B52-'Model Parameters'!$G$3)/'Model Parameters'!$G$4))</x:f>
      </x:c>
      <x:c r="L52" s="48" t="str">
        <x:f>IF(C52="","",'Model Parameters'!$G$6*IF(C52="Yes",1,0))</x:f>
      </x:c>
      <x:c r="M52" s="48" t="str">
        <x:f>IF(D52="","",SUMIFS('Model Parameters'!$C$2:$C$46,'Model Parameters'!$A$2:$A$46,"entry_product",'Model Parameters'!$B$2:$B$46,D52))</x:f>
      </x:c>
      <x:c r="N52" s="48" t="str">
        <x:f>IF(E52="","",SUMIFS('Model Parameters'!$C$2:$C$46,'Model Parameters'!$A$2:$A$46,"sales_channel",'Model Parameters'!$B$2:$B$46,E52))</x:f>
      </x:c>
      <x:c r="O52" s="48" t="str">
        <x:f>IF(F52="","",SUMIFS('Model Parameters'!$C$2:$C$46,'Model Parameters'!$A$2:$A$46,"gender",'Model Parameters'!$B$2:$B$46,F52))</x:f>
      </x:c>
      <x:c r="P52" s="48" t="str">
        <x:f>IF(G52="","",SUMIFS('Model Parameters'!$C$2:$C$46,'Model Parameters'!$A$2:$A$46,"education",'Model Parameters'!$B$2:$B$46,G52))</x:f>
      </x:c>
      <x:c r="Q52" s="48" t="str">
        <x:f>IF(H52="","",SUMIFS('Model Parameters'!$C$2:$C$46,'Model Parameters'!$A$2:$A$46,"purchase_month",'Model Parameters'!$B$2:$B$46,TEXT(H52,"0")))</x:f>
      </x:c>
      <x:c r="R52" s="48" t="str">
        <x:f>IF(I52="","",SUMIFS('Model Parameters'!$C$2:$C$46,'Model Parameters'!$A$2:$A$46,"purchase_day_of_week",'Model Parameters'!$B$2:$B$46,I52))</x:f>
      </x:c>
      <x:c r="S52" t="str">
        <x:f>IF(COUNTA(B52:I52)=0,"Waiting for input",IF(COUNTA(B52:I52)&lt;8,"Incomplete","Calculated"))</x:f>
        <x:v>Waiting for input</x:v>
      </x:c>
    </x:row>
    <x:row r="53">
      <x:c r="A53" s="36" t="str">
        <x:v>CUST-045</x:v>
      </x:c>
      <x:c r="B53" s="38"/>
      <x:c r="C53" s="36"/>
      <x:c r="D53" s="36"/>
      <x:c r="E53" s="36"/>
      <x:c r="F53" s="36"/>
      <x:c r="G53" s="36"/>
      <x:c r="H53" s="36"/>
      <x:c r="I53" s="36"/>
      <x:c r="J53" s="48" t="str">
        <x:f>IF(COUNTA(B53:I53)&lt;8,"",ROUND('Model Parameters'!$G$2+'Model Parameters'!$G$5*((B53-'Model Parameters'!$G$3)/'Model Parameters'!$G$4)+'Model Parameters'!$G$6*IF(C53="Yes",1,0)+SUMIFS('Model Parameters'!$C$2:$C$46,'Model Parameters'!$A$2:$A$46,"entry_product",'Model Parameters'!$B$2:$B$46,D53)+SUMIFS('Model Parameters'!$C$2:$C$46,'Model Parameters'!$A$2:$A$46,"sales_channel",'Model Parameters'!$B$2:$B$46,E53)+SUMIFS('Model Parameters'!$C$2:$C$46,'Model Parameters'!$A$2:$A$46,"gender",'Model Parameters'!$B$2:$B$46,F53)+SUMIFS('Model Parameters'!$C$2:$C$46,'Model Parameters'!$A$2:$A$46,"education",'Model Parameters'!$B$2:$B$46,G53)+SUMIFS('Model Parameters'!$C$2:$C$46,'Model Parameters'!$A$2:$A$46,"purchase_month",'Model Parameters'!$B$2:$B$46,TEXT(H53,"0"))+SUMIFS('Model Parameters'!$C$2:$C$46,'Model Parameters'!$A$2:$A$46,"purchase_day_of_week",'Model Parameters'!$B$2:$B$46,I53),2))</x:f>
      </x:c>
      <x:c r="K53" s="48" t="str">
        <x:f>IF(B53="","",'Model Parameters'!$G$5*((B53-'Model Parameters'!$G$3)/'Model Parameters'!$G$4))</x:f>
      </x:c>
      <x:c r="L53" s="48" t="str">
        <x:f>IF(C53="","",'Model Parameters'!$G$6*IF(C53="Yes",1,0))</x:f>
      </x:c>
      <x:c r="M53" s="48" t="str">
        <x:f>IF(D53="","",SUMIFS('Model Parameters'!$C$2:$C$46,'Model Parameters'!$A$2:$A$46,"entry_product",'Model Parameters'!$B$2:$B$46,D53))</x:f>
      </x:c>
      <x:c r="N53" s="48" t="str">
        <x:f>IF(E53="","",SUMIFS('Model Parameters'!$C$2:$C$46,'Model Parameters'!$A$2:$A$46,"sales_channel",'Model Parameters'!$B$2:$B$46,E53))</x:f>
      </x:c>
      <x:c r="O53" s="48" t="str">
        <x:f>IF(F53="","",SUMIFS('Model Parameters'!$C$2:$C$46,'Model Parameters'!$A$2:$A$46,"gender",'Model Parameters'!$B$2:$B$46,F53))</x:f>
      </x:c>
      <x:c r="P53" s="48" t="str">
        <x:f>IF(G53="","",SUMIFS('Model Parameters'!$C$2:$C$46,'Model Parameters'!$A$2:$A$46,"education",'Model Parameters'!$B$2:$B$46,G53))</x:f>
      </x:c>
      <x:c r="Q53" s="48" t="str">
        <x:f>IF(H53="","",SUMIFS('Model Parameters'!$C$2:$C$46,'Model Parameters'!$A$2:$A$46,"purchase_month",'Model Parameters'!$B$2:$B$46,TEXT(H53,"0")))</x:f>
      </x:c>
      <x:c r="R53" s="48" t="str">
        <x:f>IF(I53="","",SUMIFS('Model Parameters'!$C$2:$C$46,'Model Parameters'!$A$2:$A$46,"purchase_day_of_week",'Model Parameters'!$B$2:$B$46,I53))</x:f>
      </x:c>
      <x:c r="S53" t="str">
        <x:f>IF(COUNTA(B53:I53)=0,"Waiting for input",IF(COUNTA(B53:I53)&lt;8,"Incomplete","Calculated"))</x:f>
        <x:v>Waiting for input</x:v>
      </x:c>
    </x:row>
    <x:row r="54">
      <x:c r="A54" s="36" t="str">
        <x:v>CUST-046</x:v>
      </x:c>
      <x:c r="B54" s="38"/>
      <x:c r="C54" s="36"/>
      <x:c r="D54" s="36"/>
      <x:c r="E54" s="36"/>
      <x:c r="F54" s="36"/>
      <x:c r="G54" s="36"/>
      <x:c r="H54" s="36"/>
      <x:c r="I54" s="36"/>
      <x:c r="J54" s="48" t="str">
        <x:f>IF(COUNTA(B54:I54)&lt;8,"",ROUND('Model Parameters'!$G$2+'Model Parameters'!$G$5*((B54-'Model Parameters'!$G$3)/'Model Parameters'!$G$4)+'Model Parameters'!$G$6*IF(C54="Yes",1,0)+SUMIFS('Model Parameters'!$C$2:$C$46,'Model Parameters'!$A$2:$A$46,"entry_product",'Model Parameters'!$B$2:$B$46,D54)+SUMIFS('Model Parameters'!$C$2:$C$46,'Model Parameters'!$A$2:$A$46,"sales_channel",'Model Parameters'!$B$2:$B$46,E54)+SUMIFS('Model Parameters'!$C$2:$C$46,'Model Parameters'!$A$2:$A$46,"gender",'Model Parameters'!$B$2:$B$46,F54)+SUMIFS('Model Parameters'!$C$2:$C$46,'Model Parameters'!$A$2:$A$46,"education",'Model Parameters'!$B$2:$B$46,G54)+SUMIFS('Model Parameters'!$C$2:$C$46,'Model Parameters'!$A$2:$A$46,"purchase_month",'Model Parameters'!$B$2:$B$46,TEXT(H54,"0"))+SUMIFS('Model Parameters'!$C$2:$C$46,'Model Parameters'!$A$2:$A$46,"purchase_day_of_week",'Model Parameters'!$B$2:$B$46,I54),2))</x:f>
      </x:c>
      <x:c r="K54" s="48" t="str">
        <x:f>IF(B54="","",'Model Parameters'!$G$5*((B54-'Model Parameters'!$G$3)/'Model Parameters'!$G$4))</x:f>
      </x:c>
      <x:c r="L54" s="48" t="str">
        <x:f>IF(C54="","",'Model Parameters'!$G$6*IF(C54="Yes",1,0))</x:f>
      </x:c>
      <x:c r="M54" s="48" t="str">
        <x:f>IF(D54="","",SUMIFS('Model Parameters'!$C$2:$C$46,'Model Parameters'!$A$2:$A$46,"entry_product",'Model Parameters'!$B$2:$B$46,D54))</x:f>
      </x:c>
      <x:c r="N54" s="48" t="str">
        <x:f>IF(E54="","",SUMIFS('Model Parameters'!$C$2:$C$46,'Model Parameters'!$A$2:$A$46,"sales_channel",'Model Parameters'!$B$2:$B$46,E54))</x:f>
      </x:c>
      <x:c r="O54" s="48" t="str">
        <x:f>IF(F54="","",SUMIFS('Model Parameters'!$C$2:$C$46,'Model Parameters'!$A$2:$A$46,"gender",'Model Parameters'!$B$2:$B$46,F54))</x:f>
      </x:c>
      <x:c r="P54" s="48" t="str">
        <x:f>IF(G54="","",SUMIFS('Model Parameters'!$C$2:$C$46,'Model Parameters'!$A$2:$A$46,"education",'Model Parameters'!$B$2:$B$46,G54))</x:f>
      </x:c>
      <x:c r="Q54" s="48" t="str">
        <x:f>IF(H54="","",SUMIFS('Model Parameters'!$C$2:$C$46,'Model Parameters'!$A$2:$A$46,"purchase_month",'Model Parameters'!$B$2:$B$46,TEXT(H54,"0")))</x:f>
      </x:c>
      <x:c r="R54" s="48" t="str">
        <x:f>IF(I54="","",SUMIFS('Model Parameters'!$C$2:$C$46,'Model Parameters'!$A$2:$A$46,"purchase_day_of_week",'Model Parameters'!$B$2:$B$46,I54))</x:f>
      </x:c>
      <x:c r="S54" t="str">
        <x:f>IF(COUNTA(B54:I54)=0,"Waiting for input",IF(COUNTA(B54:I54)&lt;8,"Incomplete","Calculated"))</x:f>
        <x:v>Waiting for input</x:v>
      </x:c>
    </x:row>
    <x:row r="55">
      <x:c r="A55" s="36" t="str">
        <x:v>CUST-047</x:v>
      </x:c>
      <x:c r="B55" s="38"/>
      <x:c r="C55" s="36"/>
      <x:c r="D55" s="36"/>
      <x:c r="E55" s="36"/>
      <x:c r="F55" s="36"/>
      <x:c r="G55" s="36"/>
      <x:c r="H55" s="36"/>
      <x:c r="I55" s="36"/>
      <x:c r="J55" s="48" t="str">
        <x:f>IF(COUNTA(B55:I55)&lt;8,"",ROUND('Model Parameters'!$G$2+'Model Parameters'!$G$5*((B55-'Model Parameters'!$G$3)/'Model Parameters'!$G$4)+'Model Parameters'!$G$6*IF(C55="Yes",1,0)+SUMIFS('Model Parameters'!$C$2:$C$46,'Model Parameters'!$A$2:$A$46,"entry_product",'Model Parameters'!$B$2:$B$46,D55)+SUMIFS('Model Parameters'!$C$2:$C$46,'Model Parameters'!$A$2:$A$46,"sales_channel",'Model Parameters'!$B$2:$B$46,E55)+SUMIFS('Model Parameters'!$C$2:$C$46,'Model Parameters'!$A$2:$A$46,"gender",'Model Parameters'!$B$2:$B$46,F55)+SUMIFS('Model Parameters'!$C$2:$C$46,'Model Parameters'!$A$2:$A$46,"education",'Model Parameters'!$B$2:$B$46,G55)+SUMIFS('Model Parameters'!$C$2:$C$46,'Model Parameters'!$A$2:$A$46,"purchase_month",'Model Parameters'!$B$2:$B$46,TEXT(H55,"0"))+SUMIFS('Model Parameters'!$C$2:$C$46,'Model Parameters'!$A$2:$A$46,"purchase_day_of_week",'Model Parameters'!$B$2:$B$46,I55),2))</x:f>
      </x:c>
      <x:c r="K55" s="48" t="str">
        <x:f>IF(B55="","",'Model Parameters'!$G$5*((B55-'Model Parameters'!$G$3)/'Model Parameters'!$G$4))</x:f>
      </x:c>
      <x:c r="L55" s="48" t="str">
        <x:f>IF(C55="","",'Model Parameters'!$G$6*IF(C55="Yes",1,0))</x:f>
      </x:c>
      <x:c r="M55" s="48" t="str">
        <x:f>IF(D55="","",SUMIFS('Model Parameters'!$C$2:$C$46,'Model Parameters'!$A$2:$A$46,"entry_product",'Model Parameters'!$B$2:$B$46,D55))</x:f>
      </x:c>
      <x:c r="N55" s="48" t="str">
        <x:f>IF(E55="","",SUMIFS('Model Parameters'!$C$2:$C$46,'Model Parameters'!$A$2:$A$46,"sales_channel",'Model Parameters'!$B$2:$B$46,E55))</x:f>
      </x:c>
      <x:c r="O55" s="48" t="str">
        <x:f>IF(F55="","",SUMIFS('Model Parameters'!$C$2:$C$46,'Model Parameters'!$A$2:$A$46,"gender",'Model Parameters'!$B$2:$B$46,F55))</x:f>
      </x:c>
      <x:c r="P55" s="48" t="str">
        <x:f>IF(G55="","",SUMIFS('Model Parameters'!$C$2:$C$46,'Model Parameters'!$A$2:$A$46,"education",'Model Parameters'!$B$2:$B$46,G55))</x:f>
      </x:c>
      <x:c r="Q55" s="48" t="str">
        <x:f>IF(H55="","",SUMIFS('Model Parameters'!$C$2:$C$46,'Model Parameters'!$A$2:$A$46,"purchase_month",'Model Parameters'!$B$2:$B$46,TEXT(H55,"0")))</x:f>
      </x:c>
      <x:c r="R55" s="48" t="str">
        <x:f>IF(I55="","",SUMIFS('Model Parameters'!$C$2:$C$46,'Model Parameters'!$A$2:$A$46,"purchase_day_of_week",'Model Parameters'!$B$2:$B$46,I55))</x:f>
      </x:c>
      <x:c r="S55" t="str">
        <x:f>IF(COUNTA(B55:I55)=0,"Waiting for input",IF(COUNTA(B55:I55)&lt;8,"Incomplete","Calculated"))</x:f>
        <x:v>Waiting for input</x:v>
      </x:c>
    </x:row>
    <x:row r="56">
      <x:c r="A56" s="36" t="str">
        <x:v>CUST-048</x:v>
      </x:c>
      <x:c r="B56" s="38"/>
      <x:c r="C56" s="36"/>
      <x:c r="D56" s="36"/>
      <x:c r="E56" s="36"/>
      <x:c r="F56" s="36"/>
      <x:c r="G56" s="36"/>
      <x:c r="H56" s="36"/>
      <x:c r="I56" s="36"/>
      <x:c r="J56" s="48" t="str">
        <x:f>IF(COUNTA(B56:I56)&lt;8,"",ROUND('Model Parameters'!$G$2+'Model Parameters'!$G$5*((B56-'Model Parameters'!$G$3)/'Model Parameters'!$G$4)+'Model Parameters'!$G$6*IF(C56="Yes",1,0)+SUMIFS('Model Parameters'!$C$2:$C$46,'Model Parameters'!$A$2:$A$46,"entry_product",'Model Parameters'!$B$2:$B$46,D56)+SUMIFS('Model Parameters'!$C$2:$C$46,'Model Parameters'!$A$2:$A$46,"sales_channel",'Model Parameters'!$B$2:$B$46,E56)+SUMIFS('Model Parameters'!$C$2:$C$46,'Model Parameters'!$A$2:$A$46,"gender",'Model Parameters'!$B$2:$B$46,F56)+SUMIFS('Model Parameters'!$C$2:$C$46,'Model Parameters'!$A$2:$A$46,"education",'Model Parameters'!$B$2:$B$46,G56)+SUMIFS('Model Parameters'!$C$2:$C$46,'Model Parameters'!$A$2:$A$46,"purchase_month",'Model Parameters'!$B$2:$B$46,TEXT(H56,"0"))+SUMIFS('Model Parameters'!$C$2:$C$46,'Model Parameters'!$A$2:$A$46,"purchase_day_of_week",'Model Parameters'!$B$2:$B$46,I56),2))</x:f>
      </x:c>
      <x:c r="K56" s="48" t="str">
        <x:f>IF(B56="","",'Model Parameters'!$G$5*((B56-'Model Parameters'!$G$3)/'Model Parameters'!$G$4))</x:f>
      </x:c>
      <x:c r="L56" s="48" t="str">
        <x:f>IF(C56="","",'Model Parameters'!$G$6*IF(C56="Yes",1,0))</x:f>
      </x:c>
      <x:c r="M56" s="48" t="str">
        <x:f>IF(D56="","",SUMIFS('Model Parameters'!$C$2:$C$46,'Model Parameters'!$A$2:$A$46,"entry_product",'Model Parameters'!$B$2:$B$46,D56))</x:f>
      </x:c>
      <x:c r="N56" s="48" t="str">
        <x:f>IF(E56="","",SUMIFS('Model Parameters'!$C$2:$C$46,'Model Parameters'!$A$2:$A$46,"sales_channel",'Model Parameters'!$B$2:$B$46,E56))</x:f>
      </x:c>
      <x:c r="O56" s="48" t="str">
        <x:f>IF(F56="","",SUMIFS('Model Parameters'!$C$2:$C$46,'Model Parameters'!$A$2:$A$46,"gender",'Model Parameters'!$B$2:$B$46,F56))</x:f>
      </x:c>
      <x:c r="P56" s="48" t="str">
        <x:f>IF(G56="","",SUMIFS('Model Parameters'!$C$2:$C$46,'Model Parameters'!$A$2:$A$46,"education",'Model Parameters'!$B$2:$B$46,G56))</x:f>
      </x:c>
      <x:c r="Q56" s="48" t="str">
        <x:f>IF(H56="","",SUMIFS('Model Parameters'!$C$2:$C$46,'Model Parameters'!$A$2:$A$46,"purchase_month",'Model Parameters'!$B$2:$B$46,TEXT(H56,"0")))</x:f>
      </x:c>
      <x:c r="R56" s="48" t="str">
        <x:f>IF(I56="","",SUMIFS('Model Parameters'!$C$2:$C$46,'Model Parameters'!$A$2:$A$46,"purchase_day_of_week",'Model Parameters'!$B$2:$B$46,I56))</x:f>
      </x:c>
      <x:c r="S56" t="str">
        <x:f>IF(COUNTA(B56:I56)=0,"Waiting for input",IF(COUNTA(B56:I56)&lt;8,"Incomplete","Calculated"))</x:f>
        <x:v>Waiting for input</x:v>
      </x:c>
    </x:row>
    <x:row r="57">
      <x:c r="A57" s="36" t="str">
        <x:v>CUST-049</x:v>
      </x:c>
      <x:c r="B57" s="38"/>
      <x:c r="C57" s="36"/>
      <x:c r="D57" s="36"/>
      <x:c r="E57" s="36"/>
      <x:c r="F57" s="36"/>
      <x:c r="G57" s="36"/>
      <x:c r="H57" s="36"/>
      <x:c r="I57" s="36"/>
      <x:c r="J57" s="48" t="str">
        <x:f>IF(COUNTA(B57:I57)&lt;8,"",ROUND('Model Parameters'!$G$2+'Model Parameters'!$G$5*((B57-'Model Parameters'!$G$3)/'Model Parameters'!$G$4)+'Model Parameters'!$G$6*IF(C57="Yes",1,0)+SUMIFS('Model Parameters'!$C$2:$C$46,'Model Parameters'!$A$2:$A$46,"entry_product",'Model Parameters'!$B$2:$B$46,D57)+SUMIFS('Model Parameters'!$C$2:$C$46,'Model Parameters'!$A$2:$A$46,"sales_channel",'Model Parameters'!$B$2:$B$46,E57)+SUMIFS('Model Parameters'!$C$2:$C$46,'Model Parameters'!$A$2:$A$46,"gender",'Model Parameters'!$B$2:$B$46,F57)+SUMIFS('Model Parameters'!$C$2:$C$46,'Model Parameters'!$A$2:$A$46,"education",'Model Parameters'!$B$2:$B$46,G57)+SUMIFS('Model Parameters'!$C$2:$C$46,'Model Parameters'!$A$2:$A$46,"purchase_month",'Model Parameters'!$B$2:$B$46,TEXT(H57,"0"))+SUMIFS('Model Parameters'!$C$2:$C$46,'Model Parameters'!$A$2:$A$46,"purchase_day_of_week",'Model Parameters'!$B$2:$B$46,I57),2))</x:f>
      </x:c>
      <x:c r="K57" s="48" t="str">
        <x:f>IF(B57="","",'Model Parameters'!$G$5*((B57-'Model Parameters'!$G$3)/'Model Parameters'!$G$4))</x:f>
      </x:c>
      <x:c r="L57" s="48" t="str">
        <x:f>IF(C57="","",'Model Parameters'!$G$6*IF(C57="Yes",1,0))</x:f>
      </x:c>
      <x:c r="M57" s="48" t="str">
        <x:f>IF(D57="","",SUMIFS('Model Parameters'!$C$2:$C$46,'Model Parameters'!$A$2:$A$46,"entry_product",'Model Parameters'!$B$2:$B$46,D57))</x:f>
      </x:c>
      <x:c r="N57" s="48" t="str">
        <x:f>IF(E57="","",SUMIFS('Model Parameters'!$C$2:$C$46,'Model Parameters'!$A$2:$A$46,"sales_channel",'Model Parameters'!$B$2:$B$46,E57))</x:f>
      </x:c>
      <x:c r="O57" s="48" t="str">
        <x:f>IF(F57="","",SUMIFS('Model Parameters'!$C$2:$C$46,'Model Parameters'!$A$2:$A$46,"gender",'Model Parameters'!$B$2:$B$46,F57))</x:f>
      </x:c>
      <x:c r="P57" s="48" t="str">
        <x:f>IF(G57="","",SUMIFS('Model Parameters'!$C$2:$C$46,'Model Parameters'!$A$2:$A$46,"education",'Model Parameters'!$B$2:$B$46,G57))</x:f>
      </x:c>
      <x:c r="Q57" s="48" t="str">
        <x:f>IF(H57="","",SUMIFS('Model Parameters'!$C$2:$C$46,'Model Parameters'!$A$2:$A$46,"purchase_month",'Model Parameters'!$B$2:$B$46,TEXT(H57,"0")))</x:f>
      </x:c>
      <x:c r="R57" s="48" t="str">
        <x:f>IF(I57="","",SUMIFS('Model Parameters'!$C$2:$C$46,'Model Parameters'!$A$2:$A$46,"purchase_day_of_week",'Model Parameters'!$B$2:$B$46,I57))</x:f>
      </x:c>
      <x:c r="S57" t="str">
        <x:f>IF(COUNTA(B57:I57)=0,"Waiting for input",IF(COUNTA(B57:I57)&lt;8,"Incomplete","Calculated"))</x:f>
        <x:v>Waiting for input</x:v>
      </x:c>
    </x:row>
    <x:row r="58">
      <x:c r="A58" s="36" t="str">
        <x:v>CUST-050</x:v>
      </x:c>
      <x:c r="B58" s="38"/>
      <x:c r="C58" s="36"/>
      <x:c r="D58" s="36"/>
      <x:c r="E58" s="36"/>
      <x:c r="F58" s="36"/>
      <x:c r="G58" s="36"/>
      <x:c r="H58" s="36"/>
      <x:c r="I58" s="36"/>
      <x:c r="J58" s="48" t="str">
        <x:f>IF(COUNTA(B58:I58)&lt;8,"",ROUND('Model Parameters'!$G$2+'Model Parameters'!$G$5*((B58-'Model Parameters'!$G$3)/'Model Parameters'!$G$4)+'Model Parameters'!$G$6*IF(C58="Yes",1,0)+SUMIFS('Model Parameters'!$C$2:$C$46,'Model Parameters'!$A$2:$A$46,"entry_product",'Model Parameters'!$B$2:$B$46,D58)+SUMIFS('Model Parameters'!$C$2:$C$46,'Model Parameters'!$A$2:$A$46,"sales_channel",'Model Parameters'!$B$2:$B$46,E58)+SUMIFS('Model Parameters'!$C$2:$C$46,'Model Parameters'!$A$2:$A$46,"gender",'Model Parameters'!$B$2:$B$46,F58)+SUMIFS('Model Parameters'!$C$2:$C$46,'Model Parameters'!$A$2:$A$46,"education",'Model Parameters'!$B$2:$B$46,G58)+SUMIFS('Model Parameters'!$C$2:$C$46,'Model Parameters'!$A$2:$A$46,"purchase_month",'Model Parameters'!$B$2:$B$46,TEXT(H58,"0"))+SUMIFS('Model Parameters'!$C$2:$C$46,'Model Parameters'!$A$2:$A$46,"purchase_day_of_week",'Model Parameters'!$B$2:$B$46,I58),2))</x:f>
      </x:c>
      <x:c r="K58" s="48" t="str">
        <x:f>IF(B58="","",'Model Parameters'!$G$5*((B58-'Model Parameters'!$G$3)/'Model Parameters'!$G$4))</x:f>
      </x:c>
      <x:c r="L58" s="48" t="str">
        <x:f>IF(C58="","",'Model Parameters'!$G$6*IF(C58="Yes",1,0))</x:f>
      </x:c>
      <x:c r="M58" s="48" t="str">
        <x:f>IF(D58="","",SUMIFS('Model Parameters'!$C$2:$C$46,'Model Parameters'!$A$2:$A$46,"entry_product",'Model Parameters'!$B$2:$B$46,D58))</x:f>
      </x:c>
      <x:c r="N58" s="48" t="str">
        <x:f>IF(E58="","",SUMIFS('Model Parameters'!$C$2:$C$46,'Model Parameters'!$A$2:$A$46,"sales_channel",'Model Parameters'!$B$2:$B$46,E58))</x:f>
      </x:c>
      <x:c r="O58" s="48" t="str">
        <x:f>IF(F58="","",SUMIFS('Model Parameters'!$C$2:$C$46,'Model Parameters'!$A$2:$A$46,"gender",'Model Parameters'!$B$2:$B$46,F58))</x:f>
      </x:c>
      <x:c r="P58" s="48" t="str">
        <x:f>IF(G58="","",SUMIFS('Model Parameters'!$C$2:$C$46,'Model Parameters'!$A$2:$A$46,"education",'Model Parameters'!$B$2:$B$46,G58))</x:f>
      </x:c>
      <x:c r="Q58" s="48" t="str">
        <x:f>IF(H58="","",SUMIFS('Model Parameters'!$C$2:$C$46,'Model Parameters'!$A$2:$A$46,"purchase_month",'Model Parameters'!$B$2:$B$46,TEXT(H58,"0")))</x:f>
      </x:c>
      <x:c r="R58" s="48" t="str">
        <x:f>IF(I58="","",SUMIFS('Model Parameters'!$C$2:$C$46,'Model Parameters'!$A$2:$A$46,"purchase_day_of_week",'Model Parameters'!$B$2:$B$46,I58))</x:f>
      </x:c>
      <x:c r="S58" t="str">
        <x:f>IF(COUNTA(B58:I58)=0,"Waiting for input",IF(COUNTA(B58:I58)&lt;8,"Incomplete","Calculated"))</x:f>
        <x:v>Waiting for input</x:v>
      </x:c>
    </x:row>
    <x:row r="59">
      <x:c r="A59" s="36" t="str">
        <x:v>CUST-051</x:v>
      </x:c>
      <x:c r="B59" s="38"/>
      <x:c r="C59" s="36"/>
      <x:c r="D59" s="36"/>
      <x:c r="E59" s="36"/>
      <x:c r="F59" s="36"/>
      <x:c r="G59" s="36"/>
      <x:c r="H59" s="36"/>
      <x:c r="I59" s="36"/>
      <x:c r="J59" s="48" t="str">
        <x:f>IF(COUNTA(B59:I59)&lt;8,"",ROUND('Model Parameters'!$G$2+'Model Parameters'!$G$5*((B59-'Model Parameters'!$G$3)/'Model Parameters'!$G$4)+'Model Parameters'!$G$6*IF(C59="Yes",1,0)+SUMIFS('Model Parameters'!$C$2:$C$46,'Model Parameters'!$A$2:$A$46,"entry_product",'Model Parameters'!$B$2:$B$46,D59)+SUMIFS('Model Parameters'!$C$2:$C$46,'Model Parameters'!$A$2:$A$46,"sales_channel",'Model Parameters'!$B$2:$B$46,E59)+SUMIFS('Model Parameters'!$C$2:$C$46,'Model Parameters'!$A$2:$A$46,"gender",'Model Parameters'!$B$2:$B$46,F59)+SUMIFS('Model Parameters'!$C$2:$C$46,'Model Parameters'!$A$2:$A$46,"education",'Model Parameters'!$B$2:$B$46,G59)+SUMIFS('Model Parameters'!$C$2:$C$46,'Model Parameters'!$A$2:$A$46,"purchase_month",'Model Parameters'!$B$2:$B$46,TEXT(H59,"0"))+SUMIFS('Model Parameters'!$C$2:$C$46,'Model Parameters'!$A$2:$A$46,"purchase_day_of_week",'Model Parameters'!$B$2:$B$46,I59),2))</x:f>
      </x:c>
      <x:c r="K59" s="48" t="str">
        <x:f>IF(B59="","",'Model Parameters'!$G$5*((B59-'Model Parameters'!$G$3)/'Model Parameters'!$G$4))</x:f>
      </x:c>
      <x:c r="L59" s="48" t="str">
        <x:f>IF(C59="","",'Model Parameters'!$G$6*IF(C59="Yes",1,0))</x:f>
      </x:c>
      <x:c r="M59" s="48" t="str">
        <x:f>IF(D59="","",SUMIFS('Model Parameters'!$C$2:$C$46,'Model Parameters'!$A$2:$A$46,"entry_product",'Model Parameters'!$B$2:$B$46,D59))</x:f>
      </x:c>
      <x:c r="N59" s="48" t="str">
        <x:f>IF(E59="","",SUMIFS('Model Parameters'!$C$2:$C$46,'Model Parameters'!$A$2:$A$46,"sales_channel",'Model Parameters'!$B$2:$B$46,E59))</x:f>
      </x:c>
      <x:c r="O59" s="48" t="str">
        <x:f>IF(F59="","",SUMIFS('Model Parameters'!$C$2:$C$46,'Model Parameters'!$A$2:$A$46,"gender",'Model Parameters'!$B$2:$B$46,F59))</x:f>
      </x:c>
      <x:c r="P59" s="48" t="str">
        <x:f>IF(G59="","",SUMIFS('Model Parameters'!$C$2:$C$46,'Model Parameters'!$A$2:$A$46,"education",'Model Parameters'!$B$2:$B$46,G59))</x:f>
      </x:c>
      <x:c r="Q59" s="48" t="str">
        <x:f>IF(H59="","",SUMIFS('Model Parameters'!$C$2:$C$46,'Model Parameters'!$A$2:$A$46,"purchase_month",'Model Parameters'!$B$2:$B$46,TEXT(H59,"0")))</x:f>
      </x:c>
      <x:c r="R59" s="48" t="str">
        <x:f>IF(I59="","",SUMIFS('Model Parameters'!$C$2:$C$46,'Model Parameters'!$A$2:$A$46,"purchase_day_of_week",'Model Parameters'!$B$2:$B$46,I59))</x:f>
      </x:c>
      <x:c r="S59" t="str">
        <x:f>IF(COUNTA(B59:I59)=0,"Waiting for input",IF(COUNTA(B59:I59)&lt;8,"Incomplete","Calculated"))</x:f>
        <x:v>Waiting for input</x:v>
      </x:c>
    </x:row>
    <x:row r="60">
      <x:c r="A60" s="36" t="str">
        <x:v>CUST-052</x:v>
      </x:c>
      <x:c r="B60" s="38"/>
      <x:c r="C60" s="36"/>
      <x:c r="D60" s="36"/>
      <x:c r="E60" s="36"/>
      <x:c r="F60" s="36"/>
      <x:c r="G60" s="36"/>
      <x:c r="H60" s="36"/>
      <x:c r="I60" s="36"/>
      <x:c r="J60" s="48" t="str">
        <x:f>IF(COUNTA(B60:I60)&lt;8,"",ROUND('Model Parameters'!$G$2+'Model Parameters'!$G$5*((B60-'Model Parameters'!$G$3)/'Model Parameters'!$G$4)+'Model Parameters'!$G$6*IF(C60="Yes",1,0)+SUMIFS('Model Parameters'!$C$2:$C$46,'Model Parameters'!$A$2:$A$46,"entry_product",'Model Parameters'!$B$2:$B$46,D60)+SUMIFS('Model Parameters'!$C$2:$C$46,'Model Parameters'!$A$2:$A$46,"sales_channel",'Model Parameters'!$B$2:$B$46,E60)+SUMIFS('Model Parameters'!$C$2:$C$46,'Model Parameters'!$A$2:$A$46,"gender",'Model Parameters'!$B$2:$B$46,F60)+SUMIFS('Model Parameters'!$C$2:$C$46,'Model Parameters'!$A$2:$A$46,"education",'Model Parameters'!$B$2:$B$46,G60)+SUMIFS('Model Parameters'!$C$2:$C$46,'Model Parameters'!$A$2:$A$46,"purchase_month",'Model Parameters'!$B$2:$B$46,TEXT(H60,"0"))+SUMIFS('Model Parameters'!$C$2:$C$46,'Model Parameters'!$A$2:$A$46,"purchase_day_of_week",'Model Parameters'!$B$2:$B$46,I60),2))</x:f>
      </x:c>
      <x:c r="K60" s="48" t="str">
        <x:f>IF(B60="","",'Model Parameters'!$G$5*((B60-'Model Parameters'!$G$3)/'Model Parameters'!$G$4))</x:f>
      </x:c>
      <x:c r="L60" s="48" t="str">
        <x:f>IF(C60="","",'Model Parameters'!$G$6*IF(C60="Yes",1,0))</x:f>
      </x:c>
      <x:c r="M60" s="48" t="str">
        <x:f>IF(D60="","",SUMIFS('Model Parameters'!$C$2:$C$46,'Model Parameters'!$A$2:$A$46,"entry_product",'Model Parameters'!$B$2:$B$46,D60))</x:f>
      </x:c>
      <x:c r="N60" s="48" t="str">
        <x:f>IF(E60="","",SUMIFS('Model Parameters'!$C$2:$C$46,'Model Parameters'!$A$2:$A$46,"sales_channel",'Model Parameters'!$B$2:$B$46,E60))</x:f>
      </x:c>
      <x:c r="O60" s="48" t="str">
        <x:f>IF(F60="","",SUMIFS('Model Parameters'!$C$2:$C$46,'Model Parameters'!$A$2:$A$46,"gender",'Model Parameters'!$B$2:$B$46,F60))</x:f>
      </x:c>
      <x:c r="P60" s="48" t="str">
        <x:f>IF(G60="","",SUMIFS('Model Parameters'!$C$2:$C$46,'Model Parameters'!$A$2:$A$46,"education",'Model Parameters'!$B$2:$B$46,G60))</x:f>
      </x:c>
      <x:c r="Q60" s="48" t="str">
        <x:f>IF(H60="","",SUMIFS('Model Parameters'!$C$2:$C$46,'Model Parameters'!$A$2:$A$46,"purchase_month",'Model Parameters'!$B$2:$B$46,TEXT(H60,"0")))</x:f>
      </x:c>
      <x:c r="R60" s="48" t="str">
        <x:f>IF(I60="","",SUMIFS('Model Parameters'!$C$2:$C$46,'Model Parameters'!$A$2:$A$46,"purchase_day_of_week",'Model Parameters'!$B$2:$B$46,I60))</x:f>
      </x:c>
      <x:c r="S60" t="str">
        <x:f>IF(COUNTA(B60:I60)=0,"Waiting for input",IF(COUNTA(B60:I60)&lt;8,"Incomplete","Calculated"))</x:f>
        <x:v>Waiting for input</x:v>
      </x:c>
    </x:row>
    <x:row r="61">
      <x:c r="A61" s="36" t="str">
        <x:v>CUST-053</x:v>
      </x:c>
      <x:c r="B61" s="38"/>
      <x:c r="C61" s="36"/>
      <x:c r="D61" s="36"/>
      <x:c r="E61" s="36"/>
      <x:c r="F61" s="36"/>
      <x:c r="G61" s="36"/>
      <x:c r="H61" s="36"/>
      <x:c r="I61" s="36"/>
      <x:c r="J61" s="48" t="str">
        <x:f>IF(COUNTA(B61:I61)&lt;8,"",ROUND('Model Parameters'!$G$2+'Model Parameters'!$G$5*((B61-'Model Parameters'!$G$3)/'Model Parameters'!$G$4)+'Model Parameters'!$G$6*IF(C61="Yes",1,0)+SUMIFS('Model Parameters'!$C$2:$C$46,'Model Parameters'!$A$2:$A$46,"entry_product",'Model Parameters'!$B$2:$B$46,D61)+SUMIFS('Model Parameters'!$C$2:$C$46,'Model Parameters'!$A$2:$A$46,"sales_channel",'Model Parameters'!$B$2:$B$46,E61)+SUMIFS('Model Parameters'!$C$2:$C$46,'Model Parameters'!$A$2:$A$46,"gender",'Model Parameters'!$B$2:$B$46,F61)+SUMIFS('Model Parameters'!$C$2:$C$46,'Model Parameters'!$A$2:$A$46,"education",'Model Parameters'!$B$2:$B$46,G61)+SUMIFS('Model Parameters'!$C$2:$C$46,'Model Parameters'!$A$2:$A$46,"purchase_month",'Model Parameters'!$B$2:$B$46,TEXT(H61,"0"))+SUMIFS('Model Parameters'!$C$2:$C$46,'Model Parameters'!$A$2:$A$46,"purchase_day_of_week",'Model Parameters'!$B$2:$B$46,I61),2))</x:f>
      </x:c>
      <x:c r="K61" s="48" t="str">
        <x:f>IF(B61="","",'Model Parameters'!$G$5*((B61-'Model Parameters'!$G$3)/'Model Parameters'!$G$4))</x:f>
      </x:c>
      <x:c r="L61" s="48" t="str">
        <x:f>IF(C61="","",'Model Parameters'!$G$6*IF(C61="Yes",1,0))</x:f>
      </x:c>
      <x:c r="M61" s="48" t="str">
        <x:f>IF(D61="","",SUMIFS('Model Parameters'!$C$2:$C$46,'Model Parameters'!$A$2:$A$46,"entry_product",'Model Parameters'!$B$2:$B$46,D61))</x:f>
      </x:c>
      <x:c r="N61" s="48" t="str">
        <x:f>IF(E61="","",SUMIFS('Model Parameters'!$C$2:$C$46,'Model Parameters'!$A$2:$A$46,"sales_channel",'Model Parameters'!$B$2:$B$46,E61))</x:f>
      </x:c>
      <x:c r="O61" s="48" t="str">
        <x:f>IF(F61="","",SUMIFS('Model Parameters'!$C$2:$C$46,'Model Parameters'!$A$2:$A$46,"gender",'Model Parameters'!$B$2:$B$46,F61))</x:f>
      </x:c>
      <x:c r="P61" s="48" t="str">
        <x:f>IF(G61="","",SUMIFS('Model Parameters'!$C$2:$C$46,'Model Parameters'!$A$2:$A$46,"education",'Model Parameters'!$B$2:$B$46,G61))</x:f>
      </x:c>
      <x:c r="Q61" s="48" t="str">
        <x:f>IF(H61="","",SUMIFS('Model Parameters'!$C$2:$C$46,'Model Parameters'!$A$2:$A$46,"purchase_month",'Model Parameters'!$B$2:$B$46,TEXT(H61,"0")))</x:f>
      </x:c>
      <x:c r="R61" s="48" t="str">
        <x:f>IF(I61="","",SUMIFS('Model Parameters'!$C$2:$C$46,'Model Parameters'!$A$2:$A$46,"purchase_day_of_week",'Model Parameters'!$B$2:$B$46,I61))</x:f>
      </x:c>
      <x:c r="S61" t="str">
        <x:f>IF(COUNTA(B61:I61)=0,"Waiting for input",IF(COUNTA(B61:I61)&lt;8,"Incomplete","Calculated"))</x:f>
        <x:v>Waiting for input</x:v>
      </x:c>
    </x:row>
    <x:row r="62">
      <x:c r="A62" s="36" t="str">
        <x:v>CUST-054</x:v>
      </x:c>
      <x:c r="B62" s="38"/>
      <x:c r="C62" s="36"/>
      <x:c r="D62" s="36"/>
      <x:c r="E62" s="36"/>
      <x:c r="F62" s="36"/>
      <x:c r="G62" s="36"/>
      <x:c r="H62" s="36"/>
      <x:c r="I62" s="36"/>
      <x:c r="J62" s="48" t="str">
        <x:f>IF(COUNTA(B62:I62)&lt;8,"",ROUND('Model Parameters'!$G$2+'Model Parameters'!$G$5*((B62-'Model Parameters'!$G$3)/'Model Parameters'!$G$4)+'Model Parameters'!$G$6*IF(C62="Yes",1,0)+SUMIFS('Model Parameters'!$C$2:$C$46,'Model Parameters'!$A$2:$A$46,"entry_product",'Model Parameters'!$B$2:$B$46,D62)+SUMIFS('Model Parameters'!$C$2:$C$46,'Model Parameters'!$A$2:$A$46,"sales_channel",'Model Parameters'!$B$2:$B$46,E62)+SUMIFS('Model Parameters'!$C$2:$C$46,'Model Parameters'!$A$2:$A$46,"gender",'Model Parameters'!$B$2:$B$46,F62)+SUMIFS('Model Parameters'!$C$2:$C$46,'Model Parameters'!$A$2:$A$46,"education",'Model Parameters'!$B$2:$B$46,G62)+SUMIFS('Model Parameters'!$C$2:$C$46,'Model Parameters'!$A$2:$A$46,"purchase_month",'Model Parameters'!$B$2:$B$46,TEXT(H62,"0"))+SUMIFS('Model Parameters'!$C$2:$C$46,'Model Parameters'!$A$2:$A$46,"purchase_day_of_week",'Model Parameters'!$B$2:$B$46,I62),2))</x:f>
      </x:c>
      <x:c r="K62" s="48" t="str">
        <x:f>IF(B62="","",'Model Parameters'!$G$5*((B62-'Model Parameters'!$G$3)/'Model Parameters'!$G$4))</x:f>
      </x:c>
      <x:c r="L62" s="48" t="str">
        <x:f>IF(C62="","",'Model Parameters'!$G$6*IF(C62="Yes",1,0))</x:f>
      </x:c>
      <x:c r="M62" s="48" t="str">
        <x:f>IF(D62="","",SUMIFS('Model Parameters'!$C$2:$C$46,'Model Parameters'!$A$2:$A$46,"entry_product",'Model Parameters'!$B$2:$B$46,D62))</x:f>
      </x:c>
      <x:c r="N62" s="48" t="str">
        <x:f>IF(E62="","",SUMIFS('Model Parameters'!$C$2:$C$46,'Model Parameters'!$A$2:$A$46,"sales_channel",'Model Parameters'!$B$2:$B$46,E62))</x:f>
      </x:c>
      <x:c r="O62" s="48" t="str">
        <x:f>IF(F62="","",SUMIFS('Model Parameters'!$C$2:$C$46,'Model Parameters'!$A$2:$A$46,"gender",'Model Parameters'!$B$2:$B$46,F62))</x:f>
      </x:c>
      <x:c r="P62" s="48" t="str">
        <x:f>IF(G62="","",SUMIFS('Model Parameters'!$C$2:$C$46,'Model Parameters'!$A$2:$A$46,"education",'Model Parameters'!$B$2:$B$46,G62))</x:f>
      </x:c>
      <x:c r="Q62" s="48" t="str">
        <x:f>IF(H62="","",SUMIFS('Model Parameters'!$C$2:$C$46,'Model Parameters'!$A$2:$A$46,"purchase_month",'Model Parameters'!$B$2:$B$46,TEXT(H62,"0")))</x:f>
      </x:c>
      <x:c r="R62" s="48" t="str">
        <x:f>IF(I62="","",SUMIFS('Model Parameters'!$C$2:$C$46,'Model Parameters'!$A$2:$A$46,"purchase_day_of_week",'Model Parameters'!$B$2:$B$46,I62))</x:f>
      </x:c>
      <x:c r="S62" t="str">
        <x:f>IF(COUNTA(B62:I62)=0,"Waiting for input",IF(COUNTA(B62:I62)&lt;8,"Incomplete","Calculated"))</x:f>
        <x:v>Waiting for input</x:v>
      </x:c>
    </x:row>
    <x:row r="63">
      <x:c r="A63" s="36" t="str">
        <x:v>CUST-055</x:v>
      </x:c>
      <x:c r="B63" s="38"/>
      <x:c r="C63" s="36"/>
      <x:c r="D63" s="36"/>
      <x:c r="E63" s="36"/>
      <x:c r="F63" s="36"/>
      <x:c r="G63" s="36"/>
      <x:c r="H63" s="36"/>
      <x:c r="I63" s="36"/>
      <x:c r="J63" s="48" t="str">
        <x:f>IF(COUNTA(B63:I63)&lt;8,"",ROUND('Model Parameters'!$G$2+'Model Parameters'!$G$5*((B63-'Model Parameters'!$G$3)/'Model Parameters'!$G$4)+'Model Parameters'!$G$6*IF(C63="Yes",1,0)+SUMIFS('Model Parameters'!$C$2:$C$46,'Model Parameters'!$A$2:$A$46,"entry_product",'Model Parameters'!$B$2:$B$46,D63)+SUMIFS('Model Parameters'!$C$2:$C$46,'Model Parameters'!$A$2:$A$46,"sales_channel",'Model Parameters'!$B$2:$B$46,E63)+SUMIFS('Model Parameters'!$C$2:$C$46,'Model Parameters'!$A$2:$A$46,"gender",'Model Parameters'!$B$2:$B$46,F63)+SUMIFS('Model Parameters'!$C$2:$C$46,'Model Parameters'!$A$2:$A$46,"education",'Model Parameters'!$B$2:$B$46,G63)+SUMIFS('Model Parameters'!$C$2:$C$46,'Model Parameters'!$A$2:$A$46,"purchase_month",'Model Parameters'!$B$2:$B$46,TEXT(H63,"0"))+SUMIFS('Model Parameters'!$C$2:$C$46,'Model Parameters'!$A$2:$A$46,"purchase_day_of_week",'Model Parameters'!$B$2:$B$46,I63),2))</x:f>
      </x:c>
      <x:c r="K63" s="48" t="str">
        <x:f>IF(B63="","",'Model Parameters'!$G$5*((B63-'Model Parameters'!$G$3)/'Model Parameters'!$G$4))</x:f>
      </x:c>
      <x:c r="L63" s="48" t="str">
        <x:f>IF(C63="","",'Model Parameters'!$G$6*IF(C63="Yes",1,0))</x:f>
      </x:c>
      <x:c r="M63" s="48" t="str">
        <x:f>IF(D63="","",SUMIFS('Model Parameters'!$C$2:$C$46,'Model Parameters'!$A$2:$A$46,"entry_product",'Model Parameters'!$B$2:$B$46,D63))</x:f>
      </x:c>
      <x:c r="N63" s="48" t="str">
        <x:f>IF(E63="","",SUMIFS('Model Parameters'!$C$2:$C$46,'Model Parameters'!$A$2:$A$46,"sales_channel",'Model Parameters'!$B$2:$B$46,E63))</x:f>
      </x:c>
      <x:c r="O63" s="48" t="str">
        <x:f>IF(F63="","",SUMIFS('Model Parameters'!$C$2:$C$46,'Model Parameters'!$A$2:$A$46,"gender",'Model Parameters'!$B$2:$B$46,F63))</x:f>
      </x:c>
      <x:c r="P63" s="48" t="str">
        <x:f>IF(G63="","",SUMIFS('Model Parameters'!$C$2:$C$46,'Model Parameters'!$A$2:$A$46,"education",'Model Parameters'!$B$2:$B$46,G63))</x:f>
      </x:c>
      <x:c r="Q63" s="48" t="str">
        <x:f>IF(H63="","",SUMIFS('Model Parameters'!$C$2:$C$46,'Model Parameters'!$A$2:$A$46,"purchase_month",'Model Parameters'!$B$2:$B$46,TEXT(H63,"0")))</x:f>
      </x:c>
      <x:c r="R63" s="48" t="str">
        <x:f>IF(I63="","",SUMIFS('Model Parameters'!$C$2:$C$46,'Model Parameters'!$A$2:$A$46,"purchase_day_of_week",'Model Parameters'!$B$2:$B$46,I63))</x:f>
      </x:c>
      <x:c r="S63" t="str">
        <x:f>IF(COUNTA(B63:I63)=0,"Waiting for input",IF(COUNTA(B63:I63)&lt;8,"Incomplete","Calculated"))</x:f>
        <x:v>Waiting for input</x:v>
      </x:c>
    </x:row>
    <x:row r="64">
      <x:c r="A64" s="36" t="str">
        <x:v>CUST-056</x:v>
      </x:c>
      <x:c r="B64" s="38"/>
      <x:c r="C64" s="36"/>
      <x:c r="D64" s="36"/>
      <x:c r="E64" s="36"/>
      <x:c r="F64" s="36"/>
      <x:c r="G64" s="36"/>
      <x:c r="H64" s="36"/>
      <x:c r="I64" s="36"/>
      <x:c r="J64" s="48" t="str">
        <x:f>IF(COUNTA(B64:I64)&lt;8,"",ROUND('Model Parameters'!$G$2+'Model Parameters'!$G$5*((B64-'Model Parameters'!$G$3)/'Model Parameters'!$G$4)+'Model Parameters'!$G$6*IF(C64="Yes",1,0)+SUMIFS('Model Parameters'!$C$2:$C$46,'Model Parameters'!$A$2:$A$46,"entry_product",'Model Parameters'!$B$2:$B$46,D64)+SUMIFS('Model Parameters'!$C$2:$C$46,'Model Parameters'!$A$2:$A$46,"sales_channel",'Model Parameters'!$B$2:$B$46,E64)+SUMIFS('Model Parameters'!$C$2:$C$46,'Model Parameters'!$A$2:$A$46,"gender",'Model Parameters'!$B$2:$B$46,F64)+SUMIFS('Model Parameters'!$C$2:$C$46,'Model Parameters'!$A$2:$A$46,"education",'Model Parameters'!$B$2:$B$46,G64)+SUMIFS('Model Parameters'!$C$2:$C$46,'Model Parameters'!$A$2:$A$46,"purchase_month",'Model Parameters'!$B$2:$B$46,TEXT(H64,"0"))+SUMIFS('Model Parameters'!$C$2:$C$46,'Model Parameters'!$A$2:$A$46,"purchase_day_of_week",'Model Parameters'!$B$2:$B$46,I64),2))</x:f>
      </x:c>
      <x:c r="K64" s="48" t="str">
        <x:f>IF(B64="","",'Model Parameters'!$G$5*((B64-'Model Parameters'!$G$3)/'Model Parameters'!$G$4))</x:f>
      </x:c>
      <x:c r="L64" s="48" t="str">
        <x:f>IF(C64="","",'Model Parameters'!$G$6*IF(C64="Yes",1,0))</x:f>
      </x:c>
      <x:c r="M64" s="48" t="str">
        <x:f>IF(D64="","",SUMIFS('Model Parameters'!$C$2:$C$46,'Model Parameters'!$A$2:$A$46,"entry_product",'Model Parameters'!$B$2:$B$46,D64))</x:f>
      </x:c>
      <x:c r="N64" s="48" t="str">
        <x:f>IF(E64="","",SUMIFS('Model Parameters'!$C$2:$C$46,'Model Parameters'!$A$2:$A$46,"sales_channel",'Model Parameters'!$B$2:$B$46,E64))</x:f>
      </x:c>
      <x:c r="O64" s="48" t="str">
        <x:f>IF(F64="","",SUMIFS('Model Parameters'!$C$2:$C$46,'Model Parameters'!$A$2:$A$46,"gender",'Model Parameters'!$B$2:$B$46,F64))</x:f>
      </x:c>
      <x:c r="P64" s="48" t="str">
        <x:f>IF(G64="","",SUMIFS('Model Parameters'!$C$2:$C$46,'Model Parameters'!$A$2:$A$46,"education",'Model Parameters'!$B$2:$B$46,G64))</x:f>
      </x:c>
      <x:c r="Q64" s="48" t="str">
        <x:f>IF(H64="","",SUMIFS('Model Parameters'!$C$2:$C$46,'Model Parameters'!$A$2:$A$46,"purchase_month",'Model Parameters'!$B$2:$B$46,TEXT(H64,"0")))</x:f>
      </x:c>
      <x:c r="R64" s="48" t="str">
        <x:f>IF(I64="","",SUMIFS('Model Parameters'!$C$2:$C$46,'Model Parameters'!$A$2:$A$46,"purchase_day_of_week",'Model Parameters'!$B$2:$B$46,I64))</x:f>
      </x:c>
      <x:c r="S64" t="str">
        <x:f>IF(COUNTA(B64:I64)=0,"Waiting for input",IF(COUNTA(B64:I64)&lt;8,"Incomplete","Calculated"))</x:f>
        <x:v>Waiting for input</x:v>
      </x:c>
    </x:row>
    <x:row r="65">
      <x:c r="A65" s="36" t="str">
        <x:v>CUST-057</x:v>
      </x:c>
      <x:c r="B65" s="38"/>
      <x:c r="C65" s="36"/>
      <x:c r="D65" s="36"/>
      <x:c r="E65" s="36"/>
      <x:c r="F65" s="36"/>
      <x:c r="G65" s="36"/>
      <x:c r="H65" s="36"/>
      <x:c r="I65" s="36"/>
      <x:c r="J65" s="48" t="str">
        <x:f>IF(COUNTA(B65:I65)&lt;8,"",ROUND('Model Parameters'!$G$2+'Model Parameters'!$G$5*((B65-'Model Parameters'!$G$3)/'Model Parameters'!$G$4)+'Model Parameters'!$G$6*IF(C65="Yes",1,0)+SUMIFS('Model Parameters'!$C$2:$C$46,'Model Parameters'!$A$2:$A$46,"entry_product",'Model Parameters'!$B$2:$B$46,D65)+SUMIFS('Model Parameters'!$C$2:$C$46,'Model Parameters'!$A$2:$A$46,"sales_channel",'Model Parameters'!$B$2:$B$46,E65)+SUMIFS('Model Parameters'!$C$2:$C$46,'Model Parameters'!$A$2:$A$46,"gender",'Model Parameters'!$B$2:$B$46,F65)+SUMIFS('Model Parameters'!$C$2:$C$46,'Model Parameters'!$A$2:$A$46,"education",'Model Parameters'!$B$2:$B$46,G65)+SUMIFS('Model Parameters'!$C$2:$C$46,'Model Parameters'!$A$2:$A$46,"purchase_month",'Model Parameters'!$B$2:$B$46,TEXT(H65,"0"))+SUMIFS('Model Parameters'!$C$2:$C$46,'Model Parameters'!$A$2:$A$46,"purchase_day_of_week",'Model Parameters'!$B$2:$B$46,I65),2))</x:f>
      </x:c>
      <x:c r="K65" s="48" t="str">
        <x:f>IF(B65="","",'Model Parameters'!$G$5*((B65-'Model Parameters'!$G$3)/'Model Parameters'!$G$4))</x:f>
      </x:c>
      <x:c r="L65" s="48" t="str">
        <x:f>IF(C65="","",'Model Parameters'!$G$6*IF(C65="Yes",1,0))</x:f>
      </x:c>
      <x:c r="M65" s="48" t="str">
        <x:f>IF(D65="","",SUMIFS('Model Parameters'!$C$2:$C$46,'Model Parameters'!$A$2:$A$46,"entry_product",'Model Parameters'!$B$2:$B$46,D65))</x:f>
      </x:c>
      <x:c r="N65" s="48" t="str">
        <x:f>IF(E65="","",SUMIFS('Model Parameters'!$C$2:$C$46,'Model Parameters'!$A$2:$A$46,"sales_channel",'Model Parameters'!$B$2:$B$46,E65))</x:f>
      </x:c>
      <x:c r="O65" s="48" t="str">
        <x:f>IF(F65="","",SUMIFS('Model Parameters'!$C$2:$C$46,'Model Parameters'!$A$2:$A$46,"gender",'Model Parameters'!$B$2:$B$46,F65))</x:f>
      </x:c>
      <x:c r="P65" s="48" t="str">
        <x:f>IF(G65="","",SUMIFS('Model Parameters'!$C$2:$C$46,'Model Parameters'!$A$2:$A$46,"education",'Model Parameters'!$B$2:$B$46,G65))</x:f>
      </x:c>
      <x:c r="Q65" s="48" t="str">
        <x:f>IF(H65="","",SUMIFS('Model Parameters'!$C$2:$C$46,'Model Parameters'!$A$2:$A$46,"purchase_month",'Model Parameters'!$B$2:$B$46,TEXT(H65,"0")))</x:f>
      </x:c>
      <x:c r="R65" s="48" t="str">
        <x:f>IF(I65="","",SUMIFS('Model Parameters'!$C$2:$C$46,'Model Parameters'!$A$2:$A$46,"purchase_day_of_week",'Model Parameters'!$B$2:$B$46,I65))</x:f>
      </x:c>
      <x:c r="S65" t="str">
        <x:f>IF(COUNTA(B65:I65)=0,"Waiting for input",IF(COUNTA(B65:I65)&lt;8,"Incomplete","Calculated"))</x:f>
        <x:v>Waiting for input</x:v>
      </x:c>
    </x:row>
    <x:row r="66">
      <x:c r="A66" s="36" t="str">
        <x:v>CUST-058</x:v>
      </x:c>
      <x:c r="B66" s="38"/>
      <x:c r="C66" s="36"/>
      <x:c r="D66" s="36"/>
      <x:c r="E66" s="36"/>
      <x:c r="F66" s="36"/>
      <x:c r="G66" s="36"/>
      <x:c r="H66" s="36"/>
      <x:c r="I66" s="36"/>
      <x:c r="J66" s="48" t="str">
        <x:f>IF(COUNTA(B66:I66)&lt;8,"",ROUND('Model Parameters'!$G$2+'Model Parameters'!$G$5*((B66-'Model Parameters'!$G$3)/'Model Parameters'!$G$4)+'Model Parameters'!$G$6*IF(C66="Yes",1,0)+SUMIFS('Model Parameters'!$C$2:$C$46,'Model Parameters'!$A$2:$A$46,"entry_product",'Model Parameters'!$B$2:$B$46,D66)+SUMIFS('Model Parameters'!$C$2:$C$46,'Model Parameters'!$A$2:$A$46,"sales_channel",'Model Parameters'!$B$2:$B$46,E66)+SUMIFS('Model Parameters'!$C$2:$C$46,'Model Parameters'!$A$2:$A$46,"gender",'Model Parameters'!$B$2:$B$46,F66)+SUMIFS('Model Parameters'!$C$2:$C$46,'Model Parameters'!$A$2:$A$46,"education",'Model Parameters'!$B$2:$B$46,G66)+SUMIFS('Model Parameters'!$C$2:$C$46,'Model Parameters'!$A$2:$A$46,"purchase_month",'Model Parameters'!$B$2:$B$46,TEXT(H66,"0"))+SUMIFS('Model Parameters'!$C$2:$C$46,'Model Parameters'!$A$2:$A$46,"purchase_day_of_week",'Model Parameters'!$B$2:$B$46,I66),2))</x:f>
      </x:c>
      <x:c r="K66" s="48" t="str">
        <x:f>IF(B66="","",'Model Parameters'!$G$5*((B66-'Model Parameters'!$G$3)/'Model Parameters'!$G$4))</x:f>
      </x:c>
      <x:c r="L66" s="48" t="str">
        <x:f>IF(C66="","",'Model Parameters'!$G$6*IF(C66="Yes",1,0))</x:f>
      </x:c>
      <x:c r="M66" s="48" t="str">
        <x:f>IF(D66="","",SUMIFS('Model Parameters'!$C$2:$C$46,'Model Parameters'!$A$2:$A$46,"entry_product",'Model Parameters'!$B$2:$B$46,D66))</x:f>
      </x:c>
      <x:c r="N66" s="48" t="str">
        <x:f>IF(E66="","",SUMIFS('Model Parameters'!$C$2:$C$46,'Model Parameters'!$A$2:$A$46,"sales_channel",'Model Parameters'!$B$2:$B$46,E66))</x:f>
      </x:c>
      <x:c r="O66" s="48" t="str">
        <x:f>IF(F66="","",SUMIFS('Model Parameters'!$C$2:$C$46,'Model Parameters'!$A$2:$A$46,"gender",'Model Parameters'!$B$2:$B$46,F66))</x:f>
      </x:c>
      <x:c r="P66" s="48" t="str">
        <x:f>IF(G66="","",SUMIFS('Model Parameters'!$C$2:$C$46,'Model Parameters'!$A$2:$A$46,"education",'Model Parameters'!$B$2:$B$46,G66))</x:f>
      </x:c>
      <x:c r="Q66" s="48" t="str">
        <x:f>IF(H66="","",SUMIFS('Model Parameters'!$C$2:$C$46,'Model Parameters'!$A$2:$A$46,"purchase_month",'Model Parameters'!$B$2:$B$46,TEXT(H66,"0")))</x:f>
      </x:c>
      <x:c r="R66" s="48" t="str">
        <x:f>IF(I66="","",SUMIFS('Model Parameters'!$C$2:$C$46,'Model Parameters'!$A$2:$A$46,"purchase_day_of_week",'Model Parameters'!$B$2:$B$46,I66))</x:f>
      </x:c>
      <x:c r="S66" t="str">
        <x:f>IF(COUNTA(B66:I66)=0,"Waiting for input",IF(COUNTA(B66:I66)&lt;8,"Incomplete","Calculated"))</x:f>
        <x:v>Waiting for input</x:v>
      </x:c>
    </x:row>
    <x:row r="67">
      <x:c r="A67" s="36" t="str">
        <x:v>CUST-059</x:v>
      </x:c>
      <x:c r="B67" s="38"/>
      <x:c r="C67" s="36"/>
      <x:c r="D67" s="36"/>
      <x:c r="E67" s="36"/>
      <x:c r="F67" s="36"/>
      <x:c r="G67" s="36"/>
      <x:c r="H67" s="36"/>
      <x:c r="I67" s="36"/>
      <x:c r="J67" s="48" t="str">
        <x:f>IF(COUNTA(B67:I67)&lt;8,"",ROUND('Model Parameters'!$G$2+'Model Parameters'!$G$5*((B67-'Model Parameters'!$G$3)/'Model Parameters'!$G$4)+'Model Parameters'!$G$6*IF(C67="Yes",1,0)+SUMIFS('Model Parameters'!$C$2:$C$46,'Model Parameters'!$A$2:$A$46,"entry_product",'Model Parameters'!$B$2:$B$46,D67)+SUMIFS('Model Parameters'!$C$2:$C$46,'Model Parameters'!$A$2:$A$46,"sales_channel",'Model Parameters'!$B$2:$B$46,E67)+SUMIFS('Model Parameters'!$C$2:$C$46,'Model Parameters'!$A$2:$A$46,"gender",'Model Parameters'!$B$2:$B$46,F67)+SUMIFS('Model Parameters'!$C$2:$C$46,'Model Parameters'!$A$2:$A$46,"education",'Model Parameters'!$B$2:$B$46,G67)+SUMIFS('Model Parameters'!$C$2:$C$46,'Model Parameters'!$A$2:$A$46,"purchase_month",'Model Parameters'!$B$2:$B$46,TEXT(H67,"0"))+SUMIFS('Model Parameters'!$C$2:$C$46,'Model Parameters'!$A$2:$A$46,"purchase_day_of_week",'Model Parameters'!$B$2:$B$46,I67),2))</x:f>
      </x:c>
      <x:c r="K67" s="48" t="str">
        <x:f>IF(B67="","",'Model Parameters'!$G$5*((B67-'Model Parameters'!$G$3)/'Model Parameters'!$G$4))</x:f>
      </x:c>
      <x:c r="L67" s="48" t="str">
        <x:f>IF(C67="","",'Model Parameters'!$G$6*IF(C67="Yes",1,0))</x:f>
      </x:c>
      <x:c r="M67" s="48" t="str">
        <x:f>IF(D67="","",SUMIFS('Model Parameters'!$C$2:$C$46,'Model Parameters'!$A$2:$A$46,"entry_product",'Model Parameters'!$B$2:$B$46,D67))</x:f>
      </x:c>
      <x:c r="N67" s="48" t="str">
        <x:f>IF(E67="","",SUMIFS('Model Parameters'!$C$2:$C$46,'Model Parameters'!$A$2:$A$46,"sales_channel",'Model Parameters'!$B$2:$B$46,E67))</x:f>
      </x:c>
      <x:c r="O67" s="48" t="str">
        <x:f>IF(F67="","",SUMIFS('Model Parameters'!$C$2:$C$46,'Model Parameters'!$A$2:$A$46,"gender",'Model Parameters'!$B$2:$B$46,F67))</x:f>
      </x:c>
      <x:c r="P67" s="48" t="str">
        <x:f>IF(G67="","",SUMIFS('Model Parameters'!$C$2:$C$46,'Model Parameters'!$A$2:$A$46,"education",'Model Parameters'!$B$2:$B$46,G67))</x:f>
      </x:c>
      <x:c r="Q67" s="48" t="str">
        <x:f>IF(H67="","",SUMIFS('Model Parameters'!$C$2:$C$46,'Model Parameters'!$A$2:$A$46,"purchase_month",'Model Parameters'!$B$2:$B$46,TEXT(H67,"0")))</x:f>
      </x:c>
      <x:c r="R67" s="48" t="str">
        <x:f>IF(I67="","",SUMIFS('Model Parameters'!$C$2:$C$46,'Model Parameters'!$A$2:$A$46,"purchase_day_of_week",'Model Parameters'!$B$2:$B$46,I67))</x:f>
      </x:c>
      <x:c r="S67" t="str">
        <x:f>IF(COUNTA(B67:I67)=0,"Waiting for input",IF(COUNTA(B67:I67)&lt;8,"Incomplete","Calculated"))</x:f>
        <x:v>Waiting for input</x:v>
      </x:c>
    </x:row>
    <x:row r="68">
      <x:c r="A68" s="36" t="str">
        <x:v>CUST-060</x:v>
      </x:c>
      <x:c r="B68" s="38"/>
      <x:c r="C68" s="36"/>
      <x:c r="D68" s="36"/>
      <x:c r="E68" s="36"/>
      <x:c r="F68" s="36"/>
      <x:c r="G68" s="36"/>
      <x:c r="H68" s="36"/>
      <x:c r="I68" s="36"/>
      <x:c r="J68" s="48" t="str">
        <x:f>IF(COUNTA(B68:I68)&lt;8,"",ROUND('Model Parameters'!$G$2+'Model Parameters'!$G$5*((B68-'Model Parameters'!$G$3)/'Model Parameters'!$G$4)+'Model Parameters'!$G$6*IF(C68="Yes",1,0)+SUMIFS('Model Parameters'!$C$2:$C$46,'Model Parameters'!$A$2:$A$46,"entry_product",'Model Parameters'!$B$2:$B$46,D68)+SUMIFS('Model Parameters'!$C$2:$C$46,'Model Parameters'!$A$2:$A$46,"sales_channel",'Model Parameters'!$B$2:$B$46,E68)+SUMIFS('Model Parameters'!$C$2:$C$46,'Model Parameters'!$A$2:$A$46,"gender",'Model Parameters'!$B$2:$B$46,F68)+SUMIFS('Model Parameters'!$C$2:$C$46,'Model Parameters'!$A$2:$A$46,"education",'Model Parameters'!$B$2:$B$46,G68)+SUMIFS('Model Parameters'!$C$2:$C$46,'Model Parameters'!$A$2:$A$46,"purchase_month",'Model Parameters'!$B$2:$B$46,TEXT(H68,"0"))+SUMIFS('Model Parameters'!$C$2:$C$46,'Model Parameters'!$A$2:$A$46,"purchase_day_of_week",'Model Parameters'!$B$2:$B$46,I68),2))</x:f>
      </x:c>
      <x:c r="K68" s="48" t="str">
        <x:f>IF(B68="","",'Model Parameters'!$G$5*((B68-'Model Parameters'!$G$3)/'Model Parameters'!$G$4))</x:f>
      </x:c>
      <x:c r="L68" s="48" t="str">
        <x:f>IF(C68="","",'Model Parameters'!$G$6*IF(C68="Yes",1,0))</x:f>
      </x:c>
      <x:c r="M68" s="48" t="str">
        <x:f>IF(D68="","",SUMIFS('Model Parameters'!$C$2:$C$46,'Model Parameters'!$A$2:$A$46,"entry_product",'Model Parameters'!$B$2:$B$46,D68))</x:f>
      </x:c>
      <x:c r="N68" s="48" t="str">
        <x:f>IF(E68="","",SUMIFS('Model Parameters'!$C$2:$C$46,'Model Parameters'!$A$2:$A$46,"sales_channel",'Model Parameters'!$B$2:$B$46,E68))</x:f>
      </x:c>
      <x:c r="O68" s="48" t="str">
        <x:f>IF(F68="","",SUMIFS('Model Parameters'!$C$2:$C$46,'Model Parameters'!$A$2:$A$46,"gender",'Model Parameters'!$B$2:$B$46,F68))</x:f>
      </x:c>
      <x:c r="P68" s="48" t="str">
        <x:f>IF(G68="","",SUMIFS('Model Parameters'!$C$2:$C$46,'Model Parameters'!$A$2:$A$46,"education",'Model Parameters'!$B$2:$B$46,G68))</x:f>
      </x:c>
      <x:c r="Q68" s="48" t="str">
        <x:f>IF(H68="","",SUMIFS('Model Parameters'!$C$2:$C$46,'Model Parameters'!$A$2:$A$46,"purchase_month",'Model Parameters'!$B$2:$B$46,TEXT(H68,"0")))</x:f>
      </x:c>
      <x:c r="R68" s="48" t="str">
        <x:f>IF(I68="","",SUMIFS('Model Parameters'!$C$2:$C$46,'Model Parameters'!$A$2:$A$46,"purchase_day_of_week",'Model Parameters'!$B$2:$B$46,I68))</x:f>
      </x:c>
      <x:c r="S68" t="str">
        <x:f>IF(COUNTA(B68:I68)=0,"Waiting for input",IF(COUNTA(B68:I68)&lt;8,"Incomplete","Calculated"))</x:f>
        <x:v>Waiting for input</x:v>
      </x:c>
    </x:row>
    <x:row r="69">
      <x:c r="A69" s="36" t="str">
        <x:v>CUST-061</x:v>
      </x:c>
      <x:c r="B69" s="38"/>
      <x:c r="C69" s="36"/>
      <x:c r="D69" s="36"/>
      <x:c r="E69" s="36"/>
      <x:c r="F69" s="36"/>
      <x:c r="G69" s="36"/>
      <x:c r="H69" s="36"/>
      <x:c r="I69" s="36"/>
      <x:c r="J69" s="48" t="str">
        <x:f>IF(COUNTA(B69:I69)&lt;8,"",ROUND('Model Parameters'!$G$2+'Model Parameters'!$G$5*((B69-'Model Parameters'!$G$3)/'Model Parameters'!$G$4)+'Model Parameters'!$G$6*IF(C69="Yes",1,0)+SUMIFS('Model Parameters'!$C$2:$C$46,'Model Parameters'!$A$2:$A$46,"entry_product",'Model Parameters'!$B$2:$B$46,D69)+SUMIFS('Model Parameters'!$C$2:$C$46,'Model Parameters'!$A$2:$A$46,"sales_channel",'Model Parameters'!$B$2:$B$46,E69)+SUMIFS('Model Parameters'!$C$2:$C$46,'Model Parameters'!$A$2:$A$46,"gender",'Model Parameters'!$B$2:$B$46,F69)+SUMIFS('Model Parameters'!$C$2:$C$46,'Model Parameters'!$A$2:$A$46,"education",'Model Parameters'!$B$2:$B$46,G69)+SUMIFS('Model Parameters'!$C$2:$C$46,'Model Parameters'!$A$2:$A$46,"purchase_month",'Model Parameters'!$B$2:$B$46,TEXT(H69,"0"))+SUMIFS('Model Parameters'!$C$2:$C$46,'Model Parameters'!$A$2:$A$46,"purchase_day_of_week",'Model Parameters'!$B$2:$B$46,I69),2))</x:f>
      </x:c>
      <x:c r="K69" s="48" t="str">
        <x:f>IF(B69="","",'Model Parameters'!$G$5*((B69-'Model Parameters'!$G$3)/'Model Parameters'!$G$4))</x:f>
      </x:c>
      <x:c r="L69" s="48" t="str">
        <x:f>IF(C69="","",'Model Parameters'!$G$6*IF(C69="Yes",1,0))</x:f>
      </x:c>
      <x:c r="M69" s="48" t="str">
        <x:f>IF(D69="","",SUMIFS('Model Parameters'!$C$2:$C$46,'Model Parameters'!$A$2:$A$46,"entry_product",'Model Parameters'!$B$2:$B$46,D69))</x:f>
      </x:c>
      <x:c r="N69" s="48" t="str">
        <x:f>IF(E69="","",SUMIFS('Model Parameters'!$C$2:$C$46,'Model Parameters'!$A$2:$A$46,"sales_channel",'Model Parameters'!$B$2:$B$46,E69))</x:f>
      </x:c>
      <x:c r="O69" s="48" t="str">
        <x:f>IF(F69="","",SUMIFS('Model Parameters'!$C$2:$C$46,'Model Parameters'!$A$2:$A$46,"gender",'Model Parameters'!$B$2:$B$46,F69))</x:f>
      </x:c>
      <x:c r="P69" s="48" t="str">
        <x:f>IF(G69="","",SUMIFS('Model Parameters'!$C$2:$C$46,'Model Parameters'!$A$2:$A$46,"education",'Model Parameters'!$B$2:$B$46,G69))</x:f>
      </x:c>
      <x:c r="Q69" s="48" t="str">
        <x:f>IF(H69="","",SUMIFS('Model Parameters'!$C$2:$C$46,'Model Parameters'!$A$2:$A$46,"purchase_month",'Model Parameters'!$B$2:$B$46,TEXT(H69,"0")))</x:f>
      </x:c>
      <x:c r="R69" s="48" t="str">
        <x:f>IF(I69="","",SUMIFS('Model Parameters'!$C$2:$C$46,'Model Parameters'!$A$2:$A$46,"purchase_day_of_week",'Model Parameters'!$B$2:$B$46,I69))</x:f>
      </x:c>
      <x:c r="S69" t="str">
        <x:f>IF(COUNTA(B69:I69)=0,"Waiting for input",IF(COUNTA(B69:I69)&lt;8,"Incomplete","Calculated"))</x:f>
        <x:v>Waiting for input</x:v>
      </x:c>
    </x:row>
    <x:row r="70">
      <x:c r="A70" s="36" t="str">
        <x:v>CUST-062</x:v>
      </x:c>
      <x:c r="B70" s="38"/>
      <x:c r="C70" s="36"/>
      <x:c r="D70" s="36"/>
      <x:c r="E70" s="36"/>
      <x:c r="F70" s="36"/>
      <x:c r="G70" s="36"/>
      <x:c r="H70" s="36"/>
      <x:c r="I70" s="36"/>
      <x:c r="J70" s="48" t="str">
        <x:f>IF(COUNTA(B70:I70)&lt;8,"",ROUND('Model Parameters'!$G$2+'Model Parameters'!$G$5*((B70-'Model Parameters'!$G$3)/'Model Parameters'!$G$4)+'Model Parameters'!$G$6*IF(C70="Yes",1,0)+SUMIFS('Model Parameters'!$C$2:$C$46,'Model Parameters'!$A$2:$A$46,"entry_product",'Model Parameters'!$B$2:$B$46,D70)+SUMIFS('Model Parameters'!$C$2:$C$46,'Model Parameters'!$A$2:$A$46,"sales_channel",'Model Parameters'!$B$2:$B$46,E70)+SUMIFS('Model Parameters'!$C$2:$C$46,'Model Parameters'!$A$2:$A$46,"gender",'Model Parameters'!$B$2:$B$46,F70)+SUMIFS('Model Parameters'!$C$2:$C$46,'Model Parameters'!$A$2:$A$46,"education",'Model Parameters'!$B$2:$B$46,G70)+SUMIFS('Model Parameters'!$C$2:$C$46,'Model Parameters'!$A$2:$A$46,"purchase_month",'Model Parameters'!$B$2:$B$46,TEXT(H70,"0"))+SUMIFS('Model Parameters'!$C$2:$C$46,'Model Parameters'!$A$2:$A$46,"purchase_day_of_week",'Model Parameters'!$B$2:$B$46,I70),2))</x:f>
      </x:c>
      <x:c r="K70" s="48" t="str">
        <x:f>IF(B70="","",'Model Parameters'!$G$5*((B70-'Model Parameters'!$G$3)/'Model Parameters'!$G$4))</x:f>
      </x:c>
      <x:c r="L70" s="48" t="str">
        <x:f>IF(C70="","",'Model Parameters'!$G$6*IF(C70="Yes",1,0))</x:f>
      </x:c>
      <x:c r="M70" s="48" t="str">
        <x:f>IF(D70="","",SUMIFS('Model Parameters'!$C$2:$C$46,'Model Parameters'!$A$2:$A$46,"entry_product",'Model Parameters'!$B$2:$B$46,D70))</x:f>
      </x:c>
      <x:c r="N70" s="48" t="str">
        <x:f>IF(E70="","",SUMIFS('Model Parameters'!$C$2:$C$46,'Model Parameters'!$A$2:$A$46,"sales_channel",'Model Parameters'!$B$2:$B$46,E70))</x:f>
      </x:c>
      <x:c r="O70" s="48" t="str">
        <x:f>IF(F70="","",SUMIFS('Model Parameters'!$C$2:$C$46,'Model Parameters'!$A$2:$A$46,"gender",'Model Parameters'!$B$2:$B$46,F70))</x:f>
      </x:c>
      <x:c r="P70" s="48" t="str">
        <x:f>IF(G70="","",SUMIFS('Model Parameters'!$C$2:$C$46,'Model Parameters'!$A$2:$A$46,"education",'Model Parameters'!$B$2:$B$46,G70))</x:f>
      </x:c>
      <x:c r="Q70" s="48" t="str">
        <x:f>IF(H70="","",SUMIFS('Model Parameters'!$C$2:$C$46,'Model Parameters'!$A$2:$A$46,"purchase_month",'Model Parameters'!$B$2:$B$46,TEXT(H70,"0")))</x:f>
      </x:c>
      <x:c r="R70" s="48" t="str">
        <x:f>IF(I70="","",SUMIFS('Model Parameters'!$C$2:$C$46,'Model Parameters'!$A$2:$A$46,"purchase_day_of_week",'Model Parameters'!$B$2:$B$46,I70))</x:f>
      </x:c>
      <x:c r="S70" t="str">
        <x:f>IF(COUNTA(B70:I70)=0,"Waiting for input",IF(COUNTA(B70:I70)&lt;8,"Incomplete","Calculated"))</x:f>
        <x:v>Waiting for input</x:v>
      </x:c>
    </x:row>
    <x:row r="71">
      <x:c r="A71" s="36" t="str">
        <x:v>CUST-063</x:v>
      </x:c>
      <x:c r="B71" s="38"/>
      <x:c r="C71" s="36"/>
      <x:c r="D71" s="36"/>
      <x:c r="E71" s="36"/>
      <x:c r="F71" s="36"/>
      <x:c r="G71" s="36"/>
      <x:c r="H71" s="36"/>
      <x:c r="I71" s="36"/>
      <x:c r="J71" s="48" t="str">
        <x:f>IF(COUNTA(B71:I71)&lt;8,"",ROUND('Model Parameters'!$G$2+'Model Parameters'!$G$5*((B71-'Model Parameters'!$G$3)/'Model Parameters'!$G$4)+'Model Parameters'!$G$6*IF(C71="Yes",1,0)+SUMIFS('Model Parameters'!$C$2:$C$46,'Model Parameters'!$A$2:$A$46,"entry_product",'Model Parameters'!$B$2:$B$46,D71)+SUMIFS('Model Parameters'!$C$2:$C$46,'Model Parameters'!$A$2:$A$46,"sales_channel",'Model Parameters'!$B$2:$B$46,E71)+SUMIFS('Model Parameters'!$C$2:$C$46,'Model Parameters'!$A$2:$A$46,"gender",'Model Parameters'!$B$2:$B$46,F71)+SUMIFS('Model Parameters'!$C$2:$C$46,'Model Parameters'!$A$2:$A$46,"education",'Model Parameters'!$B$2:$B$46,G71)+SUMIFS('Model Parameters'!$C$2:$C$46,'Model Parameters'!$A$2:$A$46,"purchase_month",'Model Parameters'!$B$2:$B$46,TEXT(H71,"0"))+SUMIFS('Model Parameters'!$C$2:$C$46,'Model Parameters'!$A$2:$A$46,"purchase_day_of_week",'Model Parameters'!$B$2:$B$46,I71),2))</x:f>
      </x:c>
      <x:c r="K71" s="48" t="str">
        <x:f>IF(B71="","",'Model Parameters'!$G$5*((B71-'Model Parameters'!$G$3)/'Model Parameters'!$G$4))</x:f>
      </x:c>
      <x:c r="L71" s="48" t="str">
        <x:f>IF(C71="","",'Model Parameters'!$G$6*IF(C71="Yes",1,0))</x:f>
      </x:c>
      <x:c r="M71" s="48" t="str">
        <x:f>IF(D71="","",SUMIFS('Model Parameters'!$C$2:$C$46,'Model Parameters'!$A$2:$A$46,"entry_product",'Model Parameters'!$B$2:$B$46,D71))</x:f>
      </x:c>
      <x:c r="N71" s="48" t="str">
        <x:f>IF(E71="","",SUMIFS('Model Parameters'!$C$2:$C$46,'Model Parameters'!$A$2:$A$46,"sales_channel",'Model Parameters'!$B$2:$B$46,E71))</x:f>
      </x:c>
      <x:c r="O71" s="48" t="str">
        <x:f>IF(F71="","",SUMIFS('Model Parameters'!$C$2:$C$46,'Model Parameters'!$A$2:$A$46,"gender",'Model Parameters'!$B$2:$B$46,F71))</x:f>
      </x:c>
      <x:c r="P71" s="48" t="str">
        <x:f>IF(G71="","",SUMIFS('Model Parameters'!$C$2:$C$46,'Model Parameters'!$A$2:$A$46,"education",'Model Parameters'!$B$2:$B$46,G71))</x:f>
      </x:c>
      <x:c r="Q71" s="48" t="str">
        <x:f>IF(H71="","",SUMIFS('Model Parameters'!$C$2:$C$46,'Model Parameters'!$A$2:$A$46,"purchase_month",'Model Parameters'!$B$2:$B$46,TEXT(H71,"0")))</x:f>
      </x:c>
      <x:c r="R71" s="48" t="str">
        <x:f>IF(I71="","",SUMIFS('Model Parameters'!$C$2:$C$46,'Model Parameters'!$A$2:$A$46,"purchase_day_of_week",'Model Parameters'!$B$2:$B$46,I71))</x:f>
      </x:c>
      <x:c r="S71" t="str">
        <x:f>IF(COUNTA(B71:I71)=0,"Waiting for input",IF(COUNTA(B71:I71)&lt;8,"Incomplete","Calculated"))</x:f>
        <x:v>Waiting for input</x:v>
      </x:c>
    </x:row>
    <x:row r="72">
      <x:c r="A72" s="36" t="str">
        <x:v>CUST-064</x:v>
      </x:c>
      <x:c r="B72" s="38"/>
      <x:c r="C72" s="36"/>
      <x:c r="D72" s="36"/>
      <x:c r="E72" s="36"/>
      <x:c r="F72" s="36"/>
      <x:c r="G72" s="36"/>
      <x:c r="H72" s="36"/>
      <x:c r="I72" s="36"/>
      <x:c r="J72" s="48" t="str">
        <x:f>IF(COUNTA(B72:I72)&lt;8,"",ROUND('Model Parameters'!$G$2+'Model Parameters'!$G$5*((B72-'Model Parameters'!$G$3)/'Model Parameters'!$G$4)+'Model Parameters'!$G$6*IF(C72="Yes",1,0)+SUMIFS('Model Parameters'!$C$2:$C$46,'Model Parameters'!$A$2:$A$46,"entry_product",'Model Parameters'!$B$2:$B$46,D72)+SUMIFS('Model Parameters'!$C$2:$C$46,'Model Parameters'!$A$2:$A$46,"sales_channel",'Model Parameters'!$B$2:$B$46,E72)+SUMIFS('Model Parameters'!$C$2:$C$46,'Model Parameters'!$A$2:$A$46,"gender",'Model Parameters'!$B$2:$B$46,F72)+SUMIFS('Model Parameters'!$C$2:$C$46,'Model Parameters'!$A$2:$A$46,"education",'Model Parameters'!$B$2:$B$46,G72)+SUMIFS('Model Parameters'!$C$2:$C$46,'Model Parameters'!$A$2:$A$46,"purchase_month",'Model Parameters'!$B$2:$B$46,TEXT(H72,"0"))+SUMIFS('Model Parameters'!$C$2:$C$46,'Model Parameters'!$A$2:$A$46,"purchase_day_of_week",'Model Parameters'!$B$2:$B$46,I72),2))</x:f>
      </x:c>
      <x:c r="K72" s="48" t="str">
        <x:f>IF(B72="","",'Model Parameters'!$G$5*((B72-'Model Parameters'!$G$3)/'Model Parameters'!$G$4))</x:f>
      </x:c>
      <x:c r="L72" s="48" t="str">
        <x:f>IF(C72="","",'Model Parameters'!$G$6*IF(C72="Yes",1,0))</x:f>
      </x:c>
      <x:c r="M72" s="48" t="str">
        <x:f>IF(D72="","",SUMIFS('Model Parameters'!$C$2:$C$46,'Model Parameters'!$A$2:$A$46,"entry_product",'Model Parameters'!$B$2:$B$46,D72))</x:f>
      </x:c>
      <x:c r="N72" s="48" t="str">
        <x:f>IF(E72="","",SUMIFS('Model Parameters'!$C$2:$C$46,'Model Parameters'!$A$2:$A$46,"sales_channel",'Model Parameters'!$B$2:$B$46,E72))</x:f>
      </x:c>
      <x:c r="O72" s="48" t="str">
        <x:f>IF(F72="","",SUMIFS('Model Parameters'!$C$2:$C$46,'Model Parameters'!$A$2:$A$46,"gender",'Model Parameters'!$B$2:$B$46,F72))</x:f>
      </x:c>
      <x:c r="P72" s="48" t="str">
        <x:f>IF(G72="","",SUMIFS('Model Parameters'!$C$2:$C$46,'Model Parameters'!$A$2:$A$46,"education",'Model Parameters'!$B$2:$B$46,G72))</x:f>
      </x:c>
      <x:c r="Q72" s="48" t="str">
        <x:f>IF(H72="","",SUMIFS('Model Parameters'!$C$2:$C$46,'Model Parameters'!$A$2:$A$46,"purchase_month",'Model Parameters'!$B$2:$B$46,TEXT(H72,"0")))</x:f>
      </x:c>
      <x:c r="R72" s="48" t="str">
        <x:f>IF(I72="","",SUMIFS('Model Parameters'!$C$2:$C$46,'Model Parameters'!$A$2:$A$46,"purchase_day_of_week",'Model Parameters'!$B$2:$B$46,I72))</x:f>
      </x:c>
      <x:c r="S72" t="str">
        <x:f>IF(COUNTA(B72:I72)=0,"Waiting for input",IF(COUNTA(B72:I72)&lt;8,"Incomplete","Calculated"))</x:f>
        <x:v>Waiting for input</x:v>
      </x:c>
    </x:row>
    <x:row r="73">
      <x:c r="A73" s="36" t="str">
        <x:v>CUST-065</x:v>
      </x:c>
      <x:c r="B73" s="38"/>
      <x:c r="C73" s="36"/>
      <x:c r="D73" s="36"/>
      <x:c r="E73" s="36"/>
      <x:c r="F73" s="36"/>
      <x:c r="G73" s="36"/>
      <x:c r="H73" s="36"/>
      <x:c r="I73" s="36"/>
      <x:c r="J73" s="48" t="str">
        <x:f>IF(COUNTA(B73:I73)&lt;8,"",ROUND('Model Parameters'!$G$2+'Model Parameters'!$G$5*((B73-'Model Parameters'!$G$3)/'Model Parameters'!$G$4)+'Model Parameters'!$G$6*IF(C73="Yes",1,0)+SUMIFS('Model Parameters'!$C$2:$C$46,'Model Parameters'!$A$2:$A$46,"entry_product",'Model Parameters'!$B$2:$B$46,D73)+SUMIFS('Model Parameters'!$C$2:$C$46,'Model Parameters'!$A$2:$A$46,"sales_channel",'Model Parameters'!$B$2:$B$46,E73)+SUMIFS('Model Parameters'!$C$2:$C$46,'Model Parameters'!$A$2:$A$46,"gender",'Model Parameters'!$B$2:$B$46,F73)+SUMIFS('Model Parameters'!$C$2:$C$46,'Model Parameters'!$A$2:$A$46,"education",'Model Parameters'!$B$2:$B$46,G73)+SUMIFS('Model Parameters'!$C$2:$C$46,'Model Parameters'!$A$2:$A$46,"purchase_month",'Model Parameters'!$B$2:$B$46,TEXT(H73,"0"))+SUMIFS('Model Parameters'!$C$2:$C$46,'Model Parameters'!$A$2:$A$46,"purchase_day_of_week",'Model Parameters'!$B$2:$B$46,I73),2))</x:f>
      </x:c>
      <x:c r="K73" s="48" t="str">
        <x:f>IF(B73="","",'Model Parameters'!$G$5*((B73-'Model Parameters'!$G$3)/'Model Parameters'!$G$4))</x:f>
      </x:c>
      <x:c r="L73" s="48" t="str">
        <x:f>IF(C73="","",'Model Parameters'!$G$6*IF(C73="Yes",1,0))</x:f>
      </x:c>
      <x:c r="M73" s="48" t="str">
        <x:f>IF(D73="","",SUMIFS('Model Parameters'!$C$2:$C$46,'Model Parameters'!$A$2:$A$46,"entry_product",'Model Parameters'!$B$2:$B$46,D73))</x:f>
      </x:c>
      <x:c r="N73" s="48" t="str">
        <x:f>IF(E73="","",SUMIFS('Model Parameters'!$C$2:$C$46,'Model Parameters'!$A$2:$A$46,"sales_channel",'Model Parameters'!$B$2:$B$46,E73))</x:f>
      </x:c>
      <x:c r="O73" s="48" t="str">
        <x:f>IF(F73="","",SUMIFS('Model Parameters'!$C$2:$C$46,'Model Parameters'!$A$2:$A$46,"gender",'Model Parameters'!$B$2:$B$46,F73))</x:f>
      </x:c>
      <x:c r="P73" s="48" t="str">
        <x:f>IF(G73="","",SUMIFS('Model Parameters'!$C$2:$C$46,'Model Parameters'!$A$2:$A$46,"education",'Model Parameters'!$B$2:$B$46,G73))</x:f>
      </x:c>
      <x:c r="Q73" s="48" t="str">
        <x:f>IF(H73="","",SUMIFS('Model Parameters'!$C$2:$C$46,'Model Parameters'!$A$2:$A$46,"purchase_month",'Model Parameters'!$B$2:$B$46,TEXT(H73,"0")))</x:f>
      </x:c>
      <x:c r="R73" s="48" t="str">
        <x:f>IF(I73="","",SUMIFS('Model Parameters'!$C$2:$C$46,'Model Parameters'!$A$2:$A$46,"purchase_day_of_week",'Model Parameters'!$B$2:$B$46,I73))</x:f>
      </x:c>
      <x:c r="S73" t="str">
        <x:f>IF(COUNTA(B73:I73)=0,"Waiting for input",IF(COUNTA(B73:I73)&lt;8,"Incomplete","Calculated"))</x:f>
        <x:v>Waiting for input</x:v>
      </x:c>
    </x:row>
    <x:row r="74">
      <x:c r="A74" s="36" t="str">
        <x:v>CUST-066</x:v>
      </x:c>
      <x:c r="B74" s="38"/>
      <x:c r="C74" s="36"/>
      <x:c r="D74" s="36"/>
      <x:c r="E74" s="36"/>
      <x:c r="F74" s="36"/>
      <x:c r="G74" s="36"/>
      <x:c r="H74" s="36"/>
      <x:c r="I74" s="36"/>
      <x:c r="J74" s="48" t="str">
        <x:f>IF(COUNTA(B74:I74)&lt;8,"",ROUND('Model Parameters'!$G$2+'Model Parameters'!$G$5*((B74-'Model Parameters'!$G$3)/'Model Parameters'!$G$4)+'Model Parameters'!$G$6*IF(C74="Yes",1,0)+SUMIFS('Model Parameters'!$C$2:$C$46,'Model Parameters'!$A$2:$A$46,"entry_product",'Model Parameters'!$B$2:$B$46,D74)+SUMIFS('Model Parameters'!$C$2:$C$46,'Model Parameters'!$A$2:$A$46,"sales_channel",'Model Parameters'!$B$2:$B$46,E74)+SUMIFS('Model Parameters'!$C$2:$C$46,'Model Parameters'!$A$2:$A$46,"gender",'Model Parameters'!$B$2:$B$46,F74)+SUMIFS('Model Parameters'!$C$2:$C$46,'Model Parameters'!$A$2:$A$46,"education",'Model Parameters'!$B$2:$B$46,G74)+SUMIFS('Model Parameters'!$C$2:$C$46,'Model Parameters'!$A$2:$A$46,"purchase_month",'Model Parameters'!$B$2:$B$46,TEXT(H74,"0"))+SUMIFS('Model Parameters'!$C$2:$C$46,'Model Parameters'!$A$2:$A$46,"purchase_day_of_week",'Model Parameters'!$B$2:$B$46,I74),2))</x:f>
      </x:c>
      <x:c r="K74" s="48" t="str">
        <x:f>IF(B74="","",'Model Parameters'!$G$5*((B74-'Model Parameters'!$G$3)/'Model Parameters'!$G$4))</x:f>
      </x:c>
      <x:c r="L74" s="48" t="str">
        <x:f>IF(C74="","",'Model Parameters'!$G$6*IF(C74="Yes",1,0))</x:f>
      </x:c>
      <x:c r="M74" s="48" t="str">
        <x:f>IF(D74="","",SUMIFS('Model Parameters'!$C$2:$C$46,'Model Parameters'!$A$2:$A$46,"entry_product",'Model Parameters'!$B$2:$B$46,D74))</x:f>
      </x:c>
      <x:c r="N74" s="48" t="str">
        <x:f>IF(E74="","",SUMIFS('Model Parameters'!$C$2:$C$46,'Model Parameters'!$A$2:$A$46,"sales_channel",'Model Parameters'!$B$2:$B$46,E74))</x:f>
      </x:c>
      <x:c r="O74" s="48" t="str">
        <x:f>IF(F74="","",SUMIFS('Model Parameters'!$C$2:$C$46,'Model Parameters'!$A$2:$A$46,"gender",'Model Parameters'!$B$2:$B$46,F74))</x:f>
      </x:c>
      <x:c r="P74" s="48" t="str">
        <x:f>IF(G74="","",SUMIFS('Model Parameters'!$C$2:$C$46,'Model Parameters'!$A$2:$A$46,"education",'Model Parameters'!$B$2:$B$46,G74))</x:f>
      </x:c>
      <x:c r="Q74" s="48" t="str">
        <x:f>IF(H74="","",SUMIFS('Model Parameters'!$C$2:$C$46,'Model Parameters'!$A$2:$A$46,"purchase_month",'Model Parameters'!$B$2:$B$46,TEXT(H74,"0")))</x:f>
      </x:c>
      <x:c r="R74" s="48" t="str">
        <x:f>IF(I74="","",SUMIFS('Model Parameters'!$C$2:$C$46,'Model Parameters'!$A$2:$A$46,"purchase_day_of_week",'Model Parameters'!$B$2:$B$46,I74))</x:f>
      </x:c>
      <x:c r="S74" t="str">
        <x:f>IF(COUNTA(B74:I74)=0,"Waiting for input",IF(COUNTA(B74:I74)&lt;8,"Incomplete","Calculated"))</x:f>
        <x:v>Waiting for input</x:v>
      </x:c>
    </x:row>
    <x:row r="75">
      <x:c r="A75" s="36" t="str">
        <x:v>CUST-067</x:v>
      </x:c>
      <x:c r="B75" s="38"/>
      <x:c r="C75" s="36"/>
      <x:c r="D75" s="36"/>
      <x:c r="E75" s="36"/>
      <x:c r="F75" s="36"/>
      <x:c r="G75" s="36"/>
      <x:c r="H75" s="36"/>
      <x:c r="I75" s="36"/>
      <x:c r="J75" s="48" t="str">
        <x:f>IF(COUNTA(B75:I75)&lt;8,"",ROUND('Model Parameters'!$G$2+'Model Parameters'!$G$5*((B75-'Model Parameters'!$G$3)/'Model Parameters'!$G$4)+'Model Parameters'!$G$6*IF(C75="Yes",1,0)+SUMIFS('Model Parameters'!$C$2:$C$46,'Model Parameters'!$A$2:$A$46,"entry_product",'Model Parameters'!$B$2:$B$46,D75)+SUMIFS('Model Parameters'!$C$2:$C$46,'Model Parameters'!$A$2:$A$46,"sales_channel",'Model Parameters'!$B$2:$B$46,E75)+SUMIFS('Model Parameters'!$C$2:$C$46,'Model Parameters'!$A$2:$A$46,"gender",'Model Parameters'!$B$2:$B$46,F75)+SUMIFS('Model Parameters'!$C$2:$C$46,'Model Parameters'!$A$2:$A$46,"education",'Model Parameters'!$B$2:$B$46,G75)+SUMIFS('Model Parameters'!$C$2:$C$46,'Model Parameters'!$A$2:$A$46,"purchase_month",'Model Parameters'!$B$2:$B$46,TEXT(H75,"0"))+SUMIFS('Model Parameters'!$C$2:$C$46,'Model Parameters'!$A$2:$A$46,"purchase_day_of_week",'Model Parameters'!$B$2:$B$46,I75),2))</x:f>
      </x:c>
      <x:c r="K75" s="48" t="str">
        <x:f>IF(B75="","",'Model Parameters'!$G$5*((B75-'Model Parameters'!$G$3)/'Model Parameters'!$G$4))</x:f>
      </x:c>
      <x:c r="L75" s="48" t="str">
        <x:f>IF(C75="","",'Model Parameters'!$G$6*IF(C75="Yes",1,0))</x:f>
      </x:c>
      <x:c r="M75" s="48" t="str">
        <x:f>IF(D75="","",SUMIFS('Model Parameters'!$C$2:$C$46,'Model Parameters'!$A$2:$A$46,"entry_product",'Model Parameters'!$B$2:$B$46,D75))</x:f>
      </x:c>
      <x:c r="N75" s="48" t="str">
        <x:f>IF(E75="","",SUMIFS('Model Parameters'!$C$2:$C$46,'Model Parameters'!$A$2:$A$46,"sales_channel",'Model Parameters'!$B$2:$B$46,E75))</x:f>
      </x:c>
      <x:c r="O75" s="48" t="str">
        <x:f>IF(F75="","",SUMIFS('Model Parameters'!$C$2:$C$46,'Model Parameters'!$A$2:$A$46,"gender",'Model Parameters'!$B$2:$B$46,F75))</x:f>
      </x:c>
      <x:c r="P75" s="48" t="str">
        <x:f>IF(G75="","",SUMIFS('Model Parameters'!$C$2:$C$46,'Model Parameters'!$A$2:$A$46,"education",'Model Parameters'!$B$2:$B$46,G75))</x:f>
      </x:c>
      <x:c r="Q75" s="48" t="str">
        <x:f>IF(H75="","",SUMIFS('Model Parameters'!$C$2:$C$46,'Model Parameters'!$A$2:$A$46,"purchase_month",'Model Parameters'!$B$2:$B$46,TEXT(H75,"0")))</x:f>
      </x:c>
      <x:c r="R75" s="48" t="str">
        <x:f>IF(I75="","",SUMIFS('Model Parameters'!$C$2:$C$46,'Model Parameters'!$A$2:$A$46,"purchase_day_of_week",'Model Parameters'!$B$2:$B$46,I75))</x:f>
      </x:c>
      <x:c r="S75" t="str">
        <x:f>IF(COUNTA(B75:I75)=0,"Waiting for input",IF(COUNTA(B75:I75)&lt;8,"Incomplete","Calculated"))</x:f>
        <x:v>Waiting for input</x:v>
      </x:c>
    </x:row>
    <x:row r="76">
      <x:c r="A76" s="36" t="str">
        <x:v>CUST-068</x:v>
      </x:c>
      <x:c r="B76" s="38"/>
      <x:c r="C76" s="36"/>
      <x:c r="D76" s="36"/>
      <x:c r="E76" s="36"/>
      <x:c r="F76" s="36"/>
      <x:c r="G76" s="36"/>
      <x:c r="H76" s="36"/>
      <x:c r="I76" s="36"/>
      <x:c r="J76" s="48" t="str">
        <x:f>IF(COUNTA(B76:I76)&lt;8,"",ROUND('Model Parameters'!$G$2+'Model Parameters'!$G$5*((B76-'Model Parameters'!$G$3)/'Model Parameters'!$G$4)+'Model Parameters'!$G$6*IF(C76="Yes",1,0)+SUMIFS('Model Parameters'!$C$2:$C$46,'Model Parameters'!$A$2:$A$46,"entry_product",'Model Parameters'!$B$2:$B$46,D76)+SUMIFS('Model Parameters'!$C$2:$C$46,'Model Parameters'!$A$2:$A$46,"sales_channel",'Model Parameters'!$B$2:$B$46,E76)+SUMIFS('Model Parameters'!$C$2:$C$46,'Model Parameters'!$A$2:$A$46,"gender",'Model Parameters'!$B$2:$B$46,F76)+SUMIFS('Model Parameters'!$C$2:$C$46,'Model Parameters'!$A$2:$A$46,"education",'Model Parameters'!$B$2:$B$46,G76)+SUMIFS('Model Parameters'!$C$2:$C$46,'Model Parameters'!$A$2:$A$46,"purchase_month",'Model Parameters'!$B$2:$B$46,TEXT(H76,"0"))+SUMIFS('Model Parameters'!$C$2:$C$46,'Model Parameters'!$A$2:$A$46,"purchase_day_of_week",'Model Parameters'!$B$2:$B$46,I76),2))</x:f>
      </x:c>
      <x:c r="K76" s="48" t="str">
        <x:f>IF(B76="","",'Model Parameters'!$G$5*((B76-'Model Parameters'!$G$3)/'Model Parameters'!$G$4))</x:f>
      </x:c>
      <x:c r="L76" s="48" t="str">
        <x:f>IF(C76="","",'Model Parameters'!$G$6*IF(C76="Yes",1,0))</x:f>
      </x:c>
      <x:c r="M76" s="48" t="str">
        <x:f>IF(D76="","",SUMIFS('Model Parameters'!$C$2:$C$46,'Model Parameters'!$A$2:$A$46,"entry_product",'Model Parameters'!$B$2:$B$46,D76))</x:f>
      </x:c>
      <x:c r="N76" s="48" t="str">
        <x:f>IF(E76="","",SUMIFS('Model Parameters'!$C$2:$C$46,'Model Parameters'!$A$2:$A$46,"sales_channel",'Model Parameters'!$B$2:$B$46,E76))</x:f>
      </x:c>
      <x:c r="O76" s="48" t="str">
        <x:f>IF(F76="","",SUMIFS('Model Parameters'!$C$2:$C$46,'Model Parameters'!$A$2:$A$46,"gender",'Model Parameters'!$B$2:$B$46,F76))</x:f>
      </x:c>
      <x:c r="P76" s="48" t="str">
        <x:f>IF(G76="","",SUMIFS('Model Parameters'!$C$2:$C$46,'Model Parameters'!$A$2:$A$46,"education",'Model Parameters'!$B$2:$B$46,G76))</x:f>
      </x:c>
      <x:c r="Q76" s="48" t="str">
        <x:f>IF(H76="","",SUMIFS('Model Parameters'!$C$2:$C$46,'Model Parameters'!$A$2:$A$46,"purchase_month",'Model Parameters'!$B$2:$B$46,TEXT(H76,"0")))</x:f>
      </x:c>
      <x:c r="R76" s="48" t="str">
        <x:f>IF(I76="","",SUMIFS('Model Parameters'!$C$2:$C$46,'Model Parameters'!$A$2:$A$46,"purchase_day_of_week",'Model Parameters'!$B$2:$B$46,I76))</x:f>
      </x:c>
      <x:c r="S76" t="str">
        <x:f>IF(COUNTA(B76:I76)=0,"Waiting for input",IF(COUNTA(B76:I76)&lt;8,"Incomplete","Calculated"))</x:f>
        <x:v>Waiting for input</x:v>
      </x:c>
    </x:row>
    <x:row r="77">
      <x:c r="A77" s="36" t="str">
        <x:v>CUST-069</x:v>
      </x:c>
      <x:c r="B77" s="38"/>
      <x:c r="C77" s="36"/>
      <x:c r="D77" s="36"/>
      <x:c r="E77" s="36"/>
      <x:c r="F77" s="36"/>
      <x:c r="G77" s="36"/>
      <x:c r="H77" s="36"/>
      <x:c r="I77" s="36"/>
      <x:c r="J77" s="48" t="str">
        <x:f>IF(COUNTA(B77:I77)&lt;8,"",ROUND('Model Parameters'!$G$2+'Model Parameters'!$G$5*((B77-'Model Parameters'!$G$3)/'Model Parameters'!$G$4)+'Model Parameters'!$G$6*IF(C77="Yes",1,0)+SUMIFS('Model Parameters'!$C$2:$C$46,'Model Parameters'!$A$2:$A$46,"entry_product",'Model Parameters'!$B$2:$B$46,D77)+SUMIFS('Model Parameters'!$C$2:$C$46,'Model Parameters'!$A$2:$A$46,"sales_channel",'Model Parameters'!$B$2:$B$46,E77)+SUMIFS('Model Parameters'!$C$2:$C$46,'Model Parameters'!$A$2:$A$46,"gender",'Model Parameters'!$B$2:$B$46,F77)+SUMIFS('Model Parameters'!$C$2:$C$46,'Model Parameters'!$A$2:$A$46,"education",'Model Parameters'!$B$2:$B$46,G77)+SUMIFS('Model Parameters'!$C$2:$C$46,'Model Parameters'!$A$2:$A$46,"purchase_month",'Model Parameters'!$B$2:$B$46,TEXT(H77,"0"))+SUMIFS('Model Parameters'!$C$2:$C$46,'Model Parameters'!$A$2:$A$46,"purchase_day_of_week",'Model Parameters'!$B$2:$B$46,I77),2))</x:f>
      </x:c>
      <x:c r="K77" s="48" t="str">
        <x:f>IF(B77="","",'Model Parameters'!$G$5*((B77-'Model Parameters'!$G$3)/'Model Parameters'!$G$4))</x:f>
      </x:c>
      <x:c r="L77" s="48" t="str">
        <x:f>IF(C77="","",'Model Parameters'!$G$6*IF(C77="Yes",1,0))</x:f>
      </x:c>
      <x:c r="M77" s="48" t="str">
        <x:f>IF(D77="","",SUMIFS('Model Parameters'!$C$2:$C$46,'Model Parameters'!$A$2:$A$46,"entry_product",'Model Parameters'!$B$2:$B$46,D77))</x:f>
      </x:c>
      <x:c r="N77" s="48" t="str">
        <x:f>IF(E77="","",SUMIFS('Model Parameters'!$C$2:$C$46,'Model Parameters'!$A$2:$A$46,"sales_channel",'Model Parameters'!$B$2:$B$46,E77))</x:f>
      </x:c>
      <x:c r="O77" s="48" t="str">
        <x:f>IF(F77="","",SUMIFS('Model Parameters'!$C$2:$C$46,'Model Parameters'!$A$2:$A$46,"gender",'Model Parameters'!$B$2:$B$46,F77))</x:f>
      </x:c>
      <x:c r="P77" s="48" t="str">
        <x:f>IF(G77="","",SUMIFS('Model Parameters'!$C$2:$C$46,'Model Parameters'!$A$2:$A$46,"education",'Model Parameters'!$B$2:$B$46,G77))</x:f>
      </x:c>
      <x:c r="Q77" s="48" t="str">
        <x:f>IF(H77="","",SUMIFS('Model Parameters'!$C$2:$C$46,'Model Parameters'!$A$2:$A$46,"purchase_month",'Model Parameters'!$B$2:$B$46,TEXT(H77,"0")))</x:f>
      </x:c>
      <x:c r="R77" s="48" t="str">
        <x:f>IF(I77="","",SUMIFS('Model Parameters'!$C$2:$C$46,'Model Parameters'!$A$2:$A$46,"purchase_day_of_week",'Model Parameters'!$B$2:$B$46,I77))</x:f>
      </x:c>
      <x:c r="S77" t="str">
        <x:f>IF(COUNTA(B77:I77)=0,"Waiting for input",IF(COUNTA(B77:I77)&lt;8,"Incomplete","Calculated"))</x:f>
        <x:v>Waiting for input</x:v>
      </x:c>
    </x:row>
    <x:row r="78">
      <x:c r="A78" s="36" t="str">
        <x:v>CUST-070</x:v>
      </x:c>
      <x:c r="B78" s="38"/>
      <x:c r="C78" s="36"/>
      <x:c r="D78" s="36"/>
      <x:c r="E78" s="36"/>
      <x:c r="F78" s="36"/>
      <x:c r="G78" s="36"/>
      <x:c r="H78" s="36"/>
      <x:c r="I78" s="36"/>
      <x:c r="J78" s="48" t="str">
        <x:f>IF(COUNTA(B78:I78)&lt;8,"",ROUND('Model Parameters'!$G$2+'Model Parameters'!$G$5*((B78-'Model Parameters'!$G$3)/'Model Parameters'!$G$4)+'Model Parameters'!$G$6*IF(C78="Yes",1,0)+SUMIFS('Model Parameters'!$C$2:$C$46,'Model Parameters'!$A$2:$A$46,"entry_product",'Model Parameters'!$B$2:$B$46,D78)+SUMIFS('Model Parameters'!$C$2:$C$46,'Model Parameters'!$A$2:$A$46,"sales_channel",'Model Parameters'!$B$2:$B$46,E78)+SUMIFS('Model Parameters'!$C$2:$C$46,'Model Parameters'!$A$2:$A$46,"gender",'Model Parameters'!$B$2:$B$46,F78)+SUMIFS('Model Parameters'!$C$2:$C$46,'Model Parameters'!$A$2:$A$46,"education",'Model Parameters'!$B$2:$B$46,G78)+SUMIFS('Model Parameters'!$C$2:$C$46,'Model Parameters'!$A$2:$A$46,"purchase_month",'Model Parameters'!$B$2:$B$46,TEXT(H78,"0"))+SUMIFS('Model Parameters'!$C$2:$C$46,'Model Parameters'!$A$2:$A$46,"purchase_day_of_week",'Model Parameters'!$B$2:$B$46,I78),2))</x:f>
      </x:c>
      <x:c r="K78" s="48" t="str">
        <x:f>IF(B78="","",'Model Parameters'!$G$5*((B78-'Model Parameters'!$G$3)/'Model Parameters'!$G$4))</x:f>
      </x:c>
      <x:c r="L78" s="48" t="str">
        <x:f>IF(C78="","",'Model Parameters'!$G$6*IF(C78="Yes",1,0))</x:f>
      </x:c>
      <x:c r="M78" s="48" t="str">
        <x:f>IF(D78="","",SUMIFS('Model Parameters'!$C$2:$C$46,'Model Parameters'!$A$2:$A$46,"entry_product",'Model Parameters'!$B$2:$B$46,D78))</x:f>
      </x:c>
      <x:c r="N78" s="48" t="str">
        <x:f>IF(E78="","",SUMIFS('Model Parameters'!$C$2:$C$46,'Model Parameters'!$A$2:$A$46,"sales_channel",'Model Parameters'!$B$2:$B$46,E78))</x:f>
      </x:c>
      <x:c r="O78" s="48" t="str">
        <x:f>IF(F78="","",SUMIFS('Model Parameters'!$C$2:$C$46,'Model Parameters'!$A$2:$A$46,"gender",'Model Parameters'!$B$2:$B$46,F78))</x:f>
      </x:c>
      <x:c r="P78" s="48" t="str">
        <x:f>IF(G78="","",SUMIFS('Model Parameters'!$C$2:$C$46,'Model Parameters'!$A$2:$A$46,"education",'Model Parameters'!$B$2:$B$46,G78))</x:f>
      </x:c>
      <x:c r="Q78" s="48" t="str">
        <x:f>IF(H78="","",SUMIFS('Model Parameters'!$C$2:$C$46,'Model Parameters'!$A$2:$A$46,"purchase_month",'Model Parameters'!$B$2:$B$46,TEXT(H78,"0")))</x:f>
      </x:c>
      <x:c r="R78" s="48" t="str">
        <x:f>IF(I78="","",SUMIFS('Model Parameters'!$C$2:$C$46,'Model Parameters'!$A$2:$A$46,"purchase_day_of_week",'Model Parameters'!$B$2:$B$46,I78))</x:f>
      </x:c>
      <x:c r="S78" t="str">
        <x:f>IF(COUNTA(B78:I78)=0,"Waiting for input",IF(COUNTA(B78:I78)&lt;8,"Incomplete","Calculated"))</x:f>
        <x:v>Waiting for input</x:v>
      </x:c>
    </x:row>
    <x:row r="79">
      <x:c r="A79" s="36" t="str">
        <x:v>CUST-071</x:v>
      </x:c>
      <x:c r="B79" s="38"/>
      <x:c r="C79" s="36"/>
      <x:c r="D79" s="36"/>
      <x:c r="E79" s="36"/>
      <x:c r="F79" s="36"/>
      <x:c r="G79" s="36"/>
      <x:c r="H79" s="36"/>
      <x:c r="I79" s="36"/>
      <x:c r="J79" s="48" t="str">
        <x:f>IF(COUNTA(B79:I79)&lt;8,"",ROUND('Model Parameters'!$G$2+'Model Parameters'!$G$5*((B79-'Model Parameters'!$G$3)/'Model Parameters'!$G$4)+'Model Parameters'!$G$6*IF(C79="Yes",1,0)+SUMIFS('Model Parameters'!$C$2:$C$46,'Model Parameters'!$A$2:$A$46,"entry_product",'Model Parameters'!$B$2:$B$46,D79)+SUMIFS('Model Parameters'!$C$2:$C$46,'Model Parameters'!$A$2:$A$46,"sales_channel",'Model Parameters'!$B$2:$B$46,E79)+SUMIFS('Model Parameters'!$C$2:$C$46,'Model Parameters'!$A$2:$A$46,"gender",'Model Parameters'!$B$2:$B$46,F79)+SUMIFS('Model Parameters'!$C$2:$C$46,'Model Parameters'!$A$2:$A$46,"education",'Model Parameters'!$B$2:$B$46,G79)+SUMIFS('Model Parameters'!$C$2:$C$46,'Model Parameters'!$A$2:$A$46,"purchase_month",'Model Parameters'!$B$2:$B$46,TEXT(H79,"0"))+SUMIFS('Model Parameters'!$C$2:$C$46,'Model Parameters'!$A$2:$A$46,"purchase_day_of_week",'Model Parameters'!$B$2:$B$46,I79),2))</x:f>
      </x:c>
      <x:c r="K79" s="48" t="str">
        <x:f>IF(B79="","",'Model Parameters'!$G$5*((B79-'Model Parameters'!$G$3)/'Model Parameters'!$G$4))</x:f>
      </x:c>
      <x:c r="L79" s="48" t="str">
        <x:f>IF(C79="","",'Model Parameters'!$G$6*IF(C79="Yes",1,0))</x:f>
      </x:c>
      <x:c r="M79" s="48" t="str">
        <x:f>IF(D79="","",SUMIFS('Model Parameters'!$C$2:$C$46,'Model Parameters'!$A$2:$A$46,"entry_product",'Model Parameters'!$B$2:$B$46,D79))</x:f>
      </x:c>
      <x:c r="N79" s="48" t="str">
        <x:f>IF(E79="","",SUMIFS('Model Parameters'!$C$2:$C$46,'Model Parameters'!$A$2:$A$46,"sales_channel",'Model Parameters'!$B$2:$B$46,E79))</x:f>
      </x:c>
      <x:c r="O79" s="48" t="str">
        <x:f>IF(F79="","",SUMIFS('Model Parameters'!$C$2:$C$46,'Model Parameters'!$A$2:$A$46,"gender",'Model Parameters'!$B$2:$B$46,F79))</x:f>
      </x:c>
      <x:c r="P79" s="48" t="str">
        <x:f>IF(G79="","",SUMIFS('Model Parameters'!$C$2:$C$46,'Model Parameters'!$A$2:$A$46,"education",'Model Parameters'!$B$2:$B$46,G79))</x:f>
      </x:c>
      <x:c r="Q79" s="48" t="str">
        <x:f>IF(H79="","",SUMIFS('Model Parameters'!$C$2:$C$46,'Model Parameters'!$A$2:$A$46,"purchase_month",'Model Parameters'!$B$2:$B$46,TEXT(H79,"0")))</x:f>
      </x:c>
      <x:c r="R79" s="48" t="str">
        <x:f>IF(I79="","",SUMIFS('Model Parameters'!$C$2:$C$46,'Model Parameters'!$A$2:$A$46,"purchase_day_of_week",'Model Parameters'!$B$2:$B$46,I79))</x:f>
      </x:c>
      <x:c r="S79" t="str">
        <x:f>IF(COUNTA(B79:I79)=0,"Waiting for input",IF(COUNTA(B79:I79)&lt;8,"Incomplete","Calculated"))</x:f>
        <x:v>Waiting for input</x:v>
      </x:c>
    </x:row>
    <x:row r="80">
      <x:c r="A80" s="36" t="str">
        <x:v>CUST-072</x:v>
      </x:c>
      <x:c r="B80" s="38"/>
      <x:c r="C80" s="36"/>
      <x:c r="D80" s="36"/>
      <x:c r="E80" s="36"/>
      <x:c r="F80" s="36"/>
      <x:c r="G80" s="36"/>
      <x:c r="H80" s="36"/>
      <x:c r="I80" s="36"/>
      <x:c r="J80" s="48" t="str">
        <x:f>IF(COUNTA(B80:I80)&lt;8,"",ROUND('Model Parameters'!$G$2+'Model Parameters'!$G$5*((B80-'Model Parameters'!$G$3)/'Model Parameters'!$G$4)+'Model Parameters'!$G$6*IF(C80="Yes",1,0)+SUMIFS('Model Parameters'!$C$2:$C$46,'Model Parameters'!$A$2:$A$46,"entry_product",'Model Parameters'!$B$2:$B$46,D80)+SUMIFS('Model Parameters'!$C$2:$C$46,'Model Parameters'!$A$2:$A$46,"sales_channel",'Model Parameters'!$B$2:$B$46,E80)+SUMIFS('Model Parameters'!$C$2:$C$46,'Model Parameters'!$A$2:$A$46,"gender",'Model Parameters'!$B$2:$B$46,F80)+SUMIFS('Model Parameters'!$C$2:$C$46,'Model Parameters'!$A$2:$A$46,"education",'Model Parameters'!$B$2:$B$46,G80)+SUMIFS('Model Parameters'!$C$2:$C$46,'Model Parameters'!$A$2:$A$46,"purchase_month",'Model Parameters'!$B$2:$B$46,TEXT(H80,"0"))+SUMIFS('Model Parameters'!$C$2:$C$46,'Model Parameters'!$A$2:$A$46,"purchase_day_of_week",'Model Parameters'!$B$2:$B$46,I80),2))</x:f>
      </x:c>
      <x:c r="K80" s="48" t="str">
        <x:f>IF(B80="","",'Model Parameters'!$G$5*((B80-'Model Parameters'!$G$3)/'Model Parameters'!$G$4))</x:f>
      </x:c>
      <x:c r="L80" s="48" t="str">
        <x:f>IF(C80="","",'Model Parameters'!$G$6*IF(C80="Yes",1,0))</x:f>
      </x:c>
      <x:c r="M80" s="48" t="str">
        <x:f>IF(D80="","",SUMIFS('Model Parameters'!$C$2:$C$46,'Model Parameters'!$A$2:$A$46,"entry_product",'Model Parameters'!$B$2:$B$46,D80))</x:f>
      </x:c>
      <x:c r="N80" s="48" t="str">
        <x:f>IF(E80="","",SUMIFS('Model Parameters'!$C$2:$C$46,'Model Parameters'!$A$2:$A$46,"sales_channel",'Model Parameters'!$B$2:$B$46,E80))</x:f>
      </x:c>
      <x:c r="O80" s="48" t="str">
        <x:f>IF(F80="","",SUMIFS('Model Parameters'!$C$2:$C$46,'Model Parameters'!$A$2:$A$46,"gender",'Model Parameters'!$B$2:$B$46,F80))</x:f>
      </x:c>
      <x:c r="P80" s="48" t="str">
        <x:f>IF(G80="","",SUMIFS('Model Parameters'!$C$2:$C$46,'Model Parameters'!$A$2:$A$46,"education",'Model Parameters'!$B$2:$B$46,G80))</x:f>
      </x:c>
      <x:c r="Q80" s="48" t="str">
        <x:f>IF(H80="","",SUMIFS('Model Parameters'!$C$2:$C$46,'Model Parameters'!$A$2:$A$46,"purchase_month",'Model Parameters'!$B$2:$B$46,TEXT(H80,"0")))</x:f>
      </x:c>
      <x:c r="R80" s="48" t="str">
        <x:f>IF(I80="","",SUMIFS('Model Parameters'!$C$2:$C$46,'Model Parameters'!$A$2:$A$46,"purchase_day_of_week",'Model Parameters'!$B$2:$B$46,I80))</x:f>
      </x:c>
      <x:c r="S80" t="str">
        <x:f>IF(COUNTA(B80:I80)=0,"Waiting for input",IF(COUNTA(B80:I80)&lt;8,"Incomplete","Calculated"))</x:f>
        <x:v>Waiting for input</x:v>
      </x:c>
    </x:row>
    <x:row r="81">
      <x:c r="A81" s="36" t="str">
        <x:v>CUST-073</x:v>
      </x:c>
      <x:c r="B81" s="38"/>
      <x:c r="C81" s="36"/>
      <x:c r="D81" s="36"/>
      <x:c r="E81" s="36"/>
      <x:c r="F81" s="36"/>
      <x:c r="G81" s="36"/>
      <x:c r="H81" s="36"/>
      <x:c r="I81" s="36"/>
      <x:c r="J81" s="48" t="str">
        <x:f>IF(COUNTA(B81:I81)&lt;8,"",ROUND('Model Parameters'!$G$2+'Model Parameters'!$G$5*((B81-'Model Parameters'!$G$3)/'Model Parameters'!$G$4)+'Model Parameters'!$G$6*IF(C81="Yes",1,0)+SUMIFS('Model Parameters'!$C$2:$C$46,'Model Parameters'!$A$2:$A$46,"entry_product",'Model Parameters'!$B$2:$B$46,D81)+SUMIFS('Model Parameters'!$C$2:$C$46,'Model Parameters'!$A$2:$A$46,"sales_channel",'Model Parameters'!$B$2:$B$46,E81)+SUMIFS('Model Parameters'!$C$2:$C$46,'Model Parameters'!$A$2:$A$46,"gender",'Model Parameters'!$B$2:$B$46,F81)+SUMIFS('Model Parameters'!$C$2:$C$46,'Model Parameters'!$A$2:$A$46,"education",'Model Parameters'!$B$2:$B$46,G81)+SUMIFS('Model Parameters'!$C$2:$C$46,'Model Parameters'!$A$2:$A$46,"purchase_month",'Model Parameters'!$B$2:$B$46,TEXT(H81,"0"))+SUMIFS('Model Parameters'!$C$2:$C$46,'Model Parameters'!$A$2:$A$46,"purchase_day_of_week",'Model Parameters'!$B$2:$B$46,I81),2))</x:f>
      </x:c>
      <x:c r="K81" s="48" t="str">
        <x:f>IF(B81="","",'Model Parameters'!$G$5*((B81-'Model Parameters'!$G$3)/'Model Parameters'!$G$4))</x:f>
      </x:c>
      <x:c r="L81" s="48" t="str">
        <x:f>IF(C81="","",'Model Parameters'!$G$6*IF(C81="Yes",1,0))</x:f>
      </x:c>
      <x:c r="M81" s="48" t="str">
        <x:f>IF(D81="","",SUMIFS('Model Parameters'!$C$2:$C$46,'Model Parameters'!$A$2:$A$46,"entry_product",'Model Parameters'!$B$2:$B$46,D81))</x:f>
      </x:c>
      <x:c r="N81" s="48" t="str">
        <x:f>IF(E81="","",SUMIFS('Model Parameters'!$C$2:$C$46,'Model Parameters'!$A$2:$A$46,"sales_channel",'Model Parameters'!$B$2:$B$46,E81))</x:f>
      </x:c>
      <x:c r="O81" s="48" t="str">
        <x:f>IF(F81="","",SUMIFS('Model Parameters'!$C$2:$C$46,'Model Parameters'!$A$2:$A$46,"gender",'Model Parameters'!$B$2:$B$46,F81))</x:f>
      </x:c>
      <x:c r="P81" s="48" t="str">
        <x:f>IF(G81="","",SUMIFS('Model Parameters'!$C$2:$C$46,'Model Parameters'!$A$2:$A$46,"education",'Model Parameters'!$B$2:$B$46,G81))</x:f>
      </x:c>
      <x:c r="Q81" s="48" t="str">
        <x:f>IF(H81="","",SUMIFS('Model Parameters'!$C$2:$C$46,'Model Parameters'!$A$2:$A$46,"purchase_month",'Model Parameters'!$B$2:$B$46,TEXT(H81,"0")))</x:f>
      </x:c>
      <x:c r="R81" s="48" t="str">
        <x:f>IF(I81="","",SUMIFS('Model Parameters'!$C$2:$C$46,'Model Parameters'!$A$2:$A$46,"purchase_day_of_week",'Model Parameters'!$B$2:$B$46,I81))</x:f>
      </x:c>
      <x:c r="S81" t="str">
        <x:f>IF(COUNTA(B81:I81)=0,"Waiting for input",IF(COUNTA(B81:I81)&lt;8,"Incomplete","Calculated"))</x:f>
        <x:v>Waiting for input</x:v>
      </x:c>
    </x:row>
    <x:row r="82">
      <x:c r="A82" s="36" t="str">
        <x:v>CUST-074</x:v>
      </x:c>
      <x:c r="B82" s="38"/>
      <x:c r="C82" s="36"/>
      <x:c r="D82" s="36"/>
      <x:c r="E82" s="36"/>
      <x:c r="F82" s="36"/>
      <x:c r="G82" s="36"/>
      <x:c r="H82" s="36"/>
      <x:c r="I82" s="36"/>
      <x:c r="J82" s="48" t="str">
        <x:f>IF(COUNTA(B82:I82)&lt;8,"",ROUND('Model Parameters'!$G$2+'Model Parameters'!$G$5*((B82-'Model Parameters'!$G$3)/'Model Parameters'!$G$4)+'Model Parameters'!$G$6*IF(C82="Yes",1,0)+SUMIFS('Model Parameters'!$C$2:$C$46,'Model Parameters'!$A$2:$A$46,"entry_product",'Model Parameters'!$B$2:$B$46,D82)+SUMIFS('Model Parameters'!$C$2:$C$46,'Model Parameters'!$A$2:$A$46,"sales_channel",'Model Parameters'!$B$2:$B$46,E82)+SUMIFS('Model Parameters'!$C$2:$C$46,'Model Parameters'!$A$2:$A$46,"gender",'Model Parameters'!$B$2:$B$46,F82)+SUMIFS('Model Parameters'!$C$2:$C$46,'Model Parameters'!$A$2:$A$46,"education",'Model Parameters'!$B$2:$B$46,G82)+SUMIFS('Model Parameters'!$C$2:$C$46,'Model Parameters'!$A$2:$A$46,"purchase_month",'Model Parameters'!$B$2:$B$46,TEXT(H82,"0"))+SUMIFS('Model Parameters'!$C$2:$C$46,'Model Parameters'!$A$2:$A$46,"purchase_day_of_week",'Model Parameters'!$B$2:$B$46,I82),2))</x:f>
      </x:c>
      <x:c r="K82" s="48" t="str">
        <x:f>IF(B82="","",'Model Parameters'!$G$5*((B82-'Model Parameters'!$G$3)/'Model Parameters'!$G$4))</x:f>
      </x:c>
      <x:c r="L82" s="48" t="str">
        <x:f>IF(C82="","",'Model Parameters'!$G$6*IF(C82="Yes",1,0))</x:f>
      </x:c>
      <x:c r="M82" s="48" t="str">
        <x:f>IF(D82="","",SUMIFS('Model Parameters'!$C$2:$C$46,'Model Parameters'!$A$2:$A$46,"entry_product",'Model Parameters'!$B$2:$B$46,D82))</x:f>
      </x:c>
      <x:c r="N82" s="48" t="str">
        <x:f>IF(E82="","",SUMIFS('Model Parameters'!$C$2:$C$46,'Model Parameters'!$A$2:$A$46,"sales_channel",'Model Parameters'!$B$2:$B$46,E82))</x:f>
      </x:c>
      <x:c r="O82" s="48" t="str">
        <x:f>IF(F82="","",SUMIFS('Model Parameters'!$C$2:$C$46,'Model Parameters'!$A$2:$A$46,"gender",'Model Parameters'!$B$2:$B$46,F82))</x:f>
      </x:c>
      <x:c r="P82" s="48" t="str">
        <x:f>IF(G82="","",SUMIFS('Model Parameters'!$C$2:$C$46,'Model Parameters'!$A$2:$A$46,"education",'Model Parameters'!$B$2:$B$46,G82))</x:f>
      </x:c>
      <x:c r="Q82" s="48" t="str">
        <x:f>IF(H82="","",SUMIFS('Model Parameters'!$C$2:$C$46,'Model Parameters'!$A$2:$A$46,"purchase_month",'Model Parameters'!$B$2:$B$46,TEXT(H82,"0")))</x:f>
      </x:c>
      <x:c r="R82" s="48" t="str">
        <x:f>IF(I82="","",SUMIFS('Model Parameters'!$C$2:$C$46,'Model Parameters'!$A$2:$A$46,"purchase_day_of_week",'Model Parameters'!$B$2:$B$46,I82))</x:f>
      </x:c>
      <x:c r="S82" t="str">
        <x:f>IF(COUNTA(B82:I82)=0,"Waiting for input",IF(COUNTA(B82:I82)&lt;8,"Incomplete","Calculated"))</x:f>
        <x:v>Waiting for input</x:v>
      </x:c>
    </x:row>
    <x:row r="83">
      <x:c r="A83" s="36" t="str">
        <x:v>CUST-075</x:v>
      </x:c>
      <x:c r="B83" s="38"/>
      <x:c r="C83" s="36"/>
      <x:c r="D83" s="36"/>
      <x:c r="E83" s="36"/>
      <x:c r="F83" s="36"/>
      <x:c r="G83" s="36"/>
      <x:c r="H83" s="36"/>
      <x:c r="I83" s="36"/>
      <x:c r="J83" s="48" t="str">
        <x:f>IF(COUNTA(B83:I83)&lt;8,"",ROUND('Model Parameters'!$G$2+'Model Parameters'!$G$5*((B83-'Model Parameters'!$G$3)/'Model Parameters'!$G$4)+'Model Parameters'!$G$6*IF(C83="Yes",1,0)+SUMIFS('Model Parameters'!$C$2:$C$46,'Model Parameters'!$A$2:$A$46,"entry_product",'Model Parameters'!$B$2:$B$46,D83)+SUMIFS('Model Parameters'!$C$2:$C$46,'Model Parameters'!$A$2:$A$46,"sales_channel",'Model Parameters'!$B$2:$B$46,E83)+SUMIFS('Model Parameters'!$C$2:$C$46,'Model Parameters'!$A$2:$A$46,"gender",'Model Parameters'!$B$2:$B$46,F83)+SUMIFS('Model Parameters'!$C$2:$C$46,'Model Parameters'!$A$2:$A$46,"education",'Model Parameters'!$B$2:$B$46,G83)+SUMIFS('Model Parameters'!$C$2:$C$46,'Model Parameters'!$A$2:$A$46,"purchase_month",'Model Parameters'!$B$2:$B$46,TEXT(H83,"0"))+SUMIFS('Model Parameters'!$C$2:$C$46,'Model Parameters'!$A$2:$A$46,"purchase_day_of_week",'Model Parameters'!$B$2:$B$46,I83),2))</x:f>
      </x:c>
      <x:c r="K83" s="48" t="str">
        <x:f>IF(B83="","",'Model Parameters'!$G$5*((B83-'Model Parameters'!$G$3)/'Model Parameters'!$G$4))</x:f>
      </x:c>
      <x:c r="L83" s="48" t="str">
        <x:f>IF(C83="","",'Model Parameters'!$G$6*IF(C83="Yes",1,0))</x:f>
      </x:c>
      <x:c r="M83" s="48" t="str">
        <x:f>IF(D83="","",SUMIFS('Model Parameters'!$C$2:$C$46,'Model Parameters'!$A$2:$A$46,"entry_product",'Model Parameters'!$B$2:$B$46,D83))</x:f>
      </x:c>
      <x:c r="N83" s="48" t="str">
        <x:f>IF(E83="","",SUMIFS('Model Parameters'!$C$2:$C$46,'Model Parameters'!$A$2:$A$46,"sales_channel",'Model Parameters'!$B$2:$B$46,E83))</x:f>
      </x:c>
      <x:c r="O83" s="48" t="str">
        <x:f>IF(F83="","",SUMIFS('Model Parameters'!$C$2:$C$46,'Model Parameters'!$A$2:$A$46,"gender",'Model Parameters'!$B$2:$B$46,F83))</x:f>
      </x:c>
      <x:c r="P83" s="48" t="str">
        <x:f>IF(G83="","",SUMIFS('Model Parameters'!$C$2:$C$46,'Model Parameters'!$A$2:$A$46,"education",'Model Parameters'!$B$2:$B$46,G83))</x:f>
      </x:c>
      <x:c r="Q83" s="48" t="str">
        <x:f>IF(H83="","",SUMIFS('Model Parameters'!$C$2:$C$46,'Model Parameters'!$A$2:$A$46,"purchase_month",'Model Parameters'!$B$2:$B$46,TEXT(H83,"0")))</x:f>
      </x:c>
      <x:c r="R83" s="48" t="str">
        <x:f>IF(I83="","",SUMIFS('Model Parameters'!$C$2:$C$46,'Model Parameters'!$A$2:$A$46,"purchase_day_of_week",'Model Parameters'!$B$2:$B$46,I83))</x:f>
      </x:c>
      <x:c r="S83" t="str">
        <x:f>IF(COUNTA(B83:I83)=0,"Waiting for input",IF(COUNTA(B83:I83)&lt;8,"Incomplete","Calculated"))</x:f>
        <x:v>Waiting for input</x:v>
      </x:c>
    </x:row>
    <x:row r="84">
      <x:c r="A84" s="36" t="str">
        <x:v>CUST-076</x:v>
      </x:c>
      <x:c r="B84" s="38"/>
      <x:c r="C84" s="36"/>
      <x:c r="D84" s="36"/>
      <x:c r="E84" s="36"/>
      <x:c r="F84" s="36"/>
      <x:c r="G84" s="36"/>
      <x:c r="H84" s="36"/>
      <x:c r="I84" s="36"/>
      <x:c r="J84" s="48" t="str">
        <x:f>IF(COUNTA(B84:I84)&lt;8,"",ROUND('Model Parameters'!$G$2+'Model Parameters'!$G$5*((B84-'Model Parameters'!$G$3)/'Model Parameters'!$G$4)+'Model Parameters'!$G$6*IF(C84="Yes",1,0)+SUMIFS('Model Parameters'!$C$2:$C$46,'Model Parameters'!$A$2:$A$46,"entry_product",'Model Parameters'!$B$2:$B$46,D84)+SUMIFS('Model Parameters'!$C$2:$C$46,'Model Parameters'!$A$2:$A$46,"sales_channel",'Model Parameters'!$B$2:$B$46,E84)+SUMIFS('Model Parameters'!$C$2:$C$46,'Model Parameters'!$A$2:$A$46,"gender",'Model Parameters'!$B$2:$B$46,F84)+SUMIFS('Model Parameters'!$C$2:$C$46,'Model Parameters'!$A$2:$A$46,"education",'Model Parameters'!$B$2:$B$46,G84)+SUMIFS('Model Parameters'!$C$2:$C$46,'Model Parameters'!$A$2:$A$46,"purchase_month",'Model Parameters'!$B$2:$B$46,TEXT(H84,"0"))+SUMIFS('Model Parameters'!$C$2:$C$46,'Model Parameters'!$A$2:$A$46,"purchase_day_of_week",'Model Parameters'!$B$2:$B$46,I84),2))</x:f>
      </x:c>
      <x:c r="K84" s="48" t="str">
        <x:f>IF(B84="","",'Model Parameters'!$G$5*((B84-'Model Parameters'!$G$3)/'Model Parameters'!$G$4))</x:f>
      </x:c>
      <x:c r="L84" s="48" t="str">
        <x:f>IF(C84="","",'Model Parameters'!$G$6*IF(C84="Yes",1,0))</x:f>
      </x:c>
      <x:c r="M84" s="48" t="str">
        <x:f>IF(D84="","",SUMIFS('Model Parameters'!$C$2:$C$46,'Model Parameters'!$A$2:$A$46,"entry_product",'Model Parameters'!$B$2:$B$46,D84))</x:f>
      </x:c>
      <x:c r="N84" s="48" t="str">
        <x:f>IF(E84="","",SUMIFS('Model Parameters'!$C$2:$C$46,'Model Parameters'!$A$2:$A$46,"sales_channel",'Model Parameters'!$B$2:$B$46,E84))</x:f>
      </x:c>
      <x:c r="O84" s="48" t="str">
        <x:f>IF(F84="","",SUMIFS('Model Parameters'!$C$2:$C$46,'Model Parameters'!$A$2:$A$46,"gender",'Model Parameters'!$B$2:$B$46,F84))</x:f>
      </x:c>
      <x:c r="P84" s="48" t="str">
        <x:f>IF(G84="","",SUMIFS('Model Parameters'!$C$2:$C$46,'Model Parameters'!$A$2:$A$46,"education",'Model Parameters'!$B$2:$B$46,G84))</x:f>
      </x:c>
      <x:c r="Q84" s="48" t="str">
        <x:f>IF(H84="","",SUMIFS('Model Parameters'!$C$2:$C$46,'Model Parameters'!$A$2:$A$46,"purchase_month",'Model Parameters'!$B$2:$B$46,TEXT(H84,"0")))</x:f>
      </x:c>
      <x:c r="R84" s="48" t="str">
        <x:f>IF(I84="","",SUMIFS('Model Parameters'!$C$2:$C$46,'Model Parameters'!$A$2:$A$46,"purchase_day_of_week",'Model Parameters'!$B$2:$B$46,I84))</x:f>
      </x:c>
      <x:c r="S84" t="str">
        <x:f>IF(COUNTA(B84:I84)=0,"Waiting for input",IF(COUNTA(B84:I84)&lt;8,"Incomplete","Calculated"))</x:f>
        <x:v>Waiting for input</x:v>
      </x:c>
    </x:row>
    <x:row r="85">
      <x:c r="A85" s="36" t="str">
        <x:v>CUST-077</x:v>
      </x:c>
      <x:c r="B85" s="38"/>
      <x:c r="C85" s="36"/>
      <x:c r="D85" s="36"/>
      <x:c r="E85" s="36"/>
      <x:c r="F85" s="36"/>
      <x:c r="G85" s="36"/>
      <x:c r="H85" s="36"/>
      <x:c r="I85" s="36"/>
      <x:c r="J85" s="48" t="str">
        <x:f>IF(COUNTA(B85:I85)&lt;8,"",ROUND('Model Parameters'!$G$2+'Model Parameters'!$G$5*((B85-'Model Parameters'!$G$3)/'Model Parameters'!$G$4)+'Model Parameters'!$G$6*IF(C85="Yes",1,0)+SUMIFS('Model Parameters'!$C$2:$C$46,'Model Parameters'!$A$2:$A$46,"entry_product",'Model Parameters'!$B$2:$B$46,D85)+SUMIFS('Model Parameters'!$C$2:$C$46,'Model Parameters'!$A$2:$A$46,"sales_channel",'Model Parameters'!$B$2:$B$46,E85)+SUMIFS('Model Parameters'!$C$2:$C$46,'Model Parameters'!$A$2:$A$46,"gender",'Model Parameters'!$B$2:$B$46,F85)+SUMIFS('Model Parameters'!$C$2:$C$46,'Model Parameters'!$A$2:$A$46,"education",'Model Parameters'!$B$2:$B$46,G85)+SUMIFS('Model Parameters'!$C$2:$C$46,'Model Parameters'!$A$2:$A$46,"purchase_month",'Model Parameters'!$B$2:$B$46,TEXT(H85,"0"))+SUMIFS('Model Parameters'!$C$2:$C$46,'Model Parameters'!$A$2:$A$46,"purchase_day_of_week",'Model Parameters'!$B$2:$B$46,I85),2))</x:f>
      </x:c>
      <x:c r="K85" s="48" t="str">
        <x:f>IF(B85="","",'Model Parameters'!$G$5*((B85-'Model Parameters'!$G$3)/'Model Parameters'!$G$4))</x:f>
      </x:c>
      <x:c r="L85" s="48" t="str">
        <x:f>IF(C85="","",'Model Parameters'!$G$6*IF(C85="Yes",1,0))</x:f>
      </x:c>
      <x:c r="M85" s="48" t="str">
        <x:f>IF(D85="","",SUMIFS('Model Parameters'!$C$2:$C$46,'Model Parameters'!$A$2:$A$46,"entry_product",'Model Parameters'!$B$2:$B$46,D85))</x:f>
      </x:c>
      <x:c r="N85" s="48" t="str">
        <x:f>IF(E85="","",SUMIFS('Model Parameters'!$C$2:$C$46,'Model Parameters'!$A$2:$A$46,"sales_channel",'Model Parameters'!$B$2:$B$46,E85))</x:f>
      </x:c>
      <x:c r="O85" s="48" t="str">
        <x:f>IF(F85="","",SUMIFS('Model Parameters'!$C$2:$C$46,'Model Parameters'!$A$2:$A$46,"gender",'Model Parameters'!$B$2:$B$46,F85))</x:f>
      </x:c>
      <x:c r="P85" s="48" t="str">
        <x:f>IF(G85="","",SUMIFS('Model Parameters'!$C$2:$C$46,'Model Parameters'!$A$2:$A$46,"education",'Model Parameters'!$B$2:$B$46,G85))</x:f>
      </x:c>
      <x:c r="Q85" s="48" t="str">
        <x:f>IF(H85="","",SUMIFS('Model Parameters'!$C$2:$C$46,'Model Parameters'!$A$2:$A$46,"purchase_month",'Model Parameters'!$B$2:$B$46,TEXT(H85,"0")))</x:f>
      </x:c>
      <x:c r="R85" s="48" t="str">
        <x:f>IF(I85="","",SUMIFS('Model Parameters'!$C$2:$C$46,'Model Parameters'!$A$2:$A$46,"purchase_day_of_week",'Model Parameters'!$B$2:$B$46,I85))</x:f>
      </x:c>
      <x:c r="S85" t="str">
        <x:f>IF(COUNTA(B85:I85)=0,"Waiting for input",IF(COUNTA(B85:I85)&lt;8,"Incomplete","Calculated"))</x:f>
        <x:v>Waiting for input</x:v>
      </x:c>
    </x:row>
    <x:row r="86">
      <x:c r="A86" s="36" t="str">
        <x:v>CUST-078</x:v>
      </x:c>
      <x:c r="B86" s="38"/>
      <x:c r="C86" s="36"/>
      <x:c r="D86" s="36"/>
      <x:c r="E86" s="36"/>
      <x:c r="F86" s="36"/>
      <x:c r="G86" s="36"/>
      <x:c r="H86" s="36"/>
      <x:c r="I86" s="36"/>
      <x:c r="J86" s="48" t="str">
        <x:f>IF(COUNTA(B86:I86)&lt;8,"",ROUND('Model Parameters'!$G$2+'Model Parameters'!$G$5*((B86-'Model Parameters'!$G$3)/'Model Parameters'!$G$4)+'Model Parameters'!$G$6*IF(C86="Yes",1,0)+SUMIFS('Model Parameters'!$C$2:$C$46,'Model Parameters'!$A$2:$A$46,"entry_product",'Model Parameters'!$B$2:$B$46,D86)+SUMIFS('Model Parameters'!$C$2:$C$46,'Model Parameters'!$A$2:$A$46,"sales_channel",'Model Parameters'!$B$2:$B$46,E86)+SUMIFS('Model Parameters'!$C$2:$C$46,'Model Parameters'!$A$2:$A$46,"gender",'Model Parameters'!$B$2:$B$46,F86)+SUMIFS('Model Parameters'!$C$2:$C$46,'Model Parameters'!$A$2:$A$46,"education",'Model Parameters'!$B$2:$B$46,G86)+SUMIFS('Model Parameters'!$C$2:$C$46,'Model Parameters'!$A$2:$A$46,"purchase_month",'Model Parameters'!$B$2:$B$46,TEXT(H86,"0"))+SUMIFS('Model Parameters'!$C$2:$C$46,'Model Parameters'!$A$2:$A$46,"purchase_day_of_week",'Model Parameters'!$B$2:$B$46,I86),2))</x:f>
      </x:c>
      <x:c r="K86" s="48" t="str">
        <x:f>IF(B86="","",'Model Parameters'!$G$5*((B86-'Model Parameters'!$G$3)/'Model Parameters'!$G$4))</x:f>
      </x:c>
      <x:c r="L86" s="48" t="str">
        <x:f>IF(C86="","",'Model Parameters'!$G$6*IF(C86="Yes",1,0))</x:f>
      </x:c>
      <x:c r="M86" s="48" t="str">
        <x:f>IF(D86="","",SUMIFS('Model Parameters'!$C$2:$C$46,'Model Parameters'!$A$2:$A$46,"entry_product",'Model Parameters'!$B$2:$B$46,D86))</x:f>
      </x:c>
      <x:c r="N86" s="48" t="str">
        <x:f>IF(E86="","",SUMIFS('Model Parameters'!$C$2:$C$46,'Model Parameters'!$A$2:$A$46,"sales_channel",'Model Parameters'!$B$2:$B$46,E86))</x:f>
      </x:c>
      <x:c r="O86" s="48" t="str">
        <x:f>IF(F86="","",SUMIFS('Model Parameters'!$C$2:$C$46,'Model Parameters'!$A$2:$A$46,"gender",'Model Parameters'!$B$2:$B$46,F86))</x:f>
      </x:c>
      <x:c r="P86" s="48" t="str">
        <x:f>IF(G86="","",SUMIFS('Model Parameters'!$C$2:$C$46,'Model Parameters'!$A$2:$A$46,"education",'Model Parameters'!$B$2:$B$46,G86))</x:f>
      </x:c>
      <x:c r="Q86" s="48" t="str">
        <x:f>IF(H86="","",SUMIFS('Model Parameters'!$C$2:$C$46,'Model Parameters'!$A$2:$A$46,"purchase_month",'Model Parameters'!$B$2:$B$46,TEXT(H86,"0")))</x:f>
      </x:c>
      <x:c r="R86" s="48" t="str">
        <x:f>IF(I86="","",SUMIFS('Model Parameters'!$C$2:$C$46,'Model Parameters'!$A$2:$A$46,"purchase_day_of_week",'Model Parameters'!$B$2:$B$46,I86))</x:f>
      </x:c>
      <x:c r="S86" t="str">
        <x:f>IF(COUNTA(B86:I86)=0,"Waiting for input",IF(COUNTA(B86:I86)&lt;8,"Incomplete","Calculated"))</x:f>
        <x:v>Waiting for input</x:v>
      </x:c>
    </x:row>
    <x:row r="87">
      <x:c r="A87" s="36" t="str">
        <x:v>CUST-079</x:v>
      </x:c>
      <x:c r="B87" s="38"/>
      <x:c r="C87" s="36"/>
      <x:c r="D87" s="36"/>
      <x:c r="E87" s="36"/>
      <x:c r="F87" s="36"/>
      <x:c r="G87" s="36"/>
      <x:c r="H87" s="36"/>
      <x:c r="I87" s="36"/>
      <x:c r="J87" s="48" t="str">
        <x:f>IF(COUNTA(B87:I87)&lt;8,"",ROUND('Model Parameters'!$G$2+'Model Parameters'!$G$5*((B87-'Model Parameters'!$G$3)/'Model Parameters'!$G$4)+'Model Parameters'!$G$6*IF(C87="Yes",1,0)+SUMIFS('Model Parameters'!$C$2:$C$46,'Model Parameters'!$A$2:$A$46,"entry_product",'Model Parameters'!$B$2:$B$46,D87)+SUMIFS('Model Parameters'!$C$2:$C$46,'Model Parameters'!$A$2:$A$46,"sales_channel",'Model Parameters'!$B$2:$B$46,E87)+SUMIFS('Model Parameters'!$C$2:$C$46,'Model Parameters'!$A$2:$A$46,"gender",'Model Parameters'!$B$2:$B$46,F87)+SUMIFS('Model Parameters'!$C$2:$C$46,'Model Parameters'!$A$2:$A$46,"education",'Model Parameters'!$B$2:$B$46,G87)+SUMIFS('Model Parameters'!$C$2:$C$46,'Model Parameters'!$A$2:$A$46,"purchase_month",'Model Parameters'!$B$2:$B$46,TEXT(H87,"0"))+SUMIFS('Model Parameters'!$C$2:$C$46,'Model Parameters'!$A$2:$A$46,"purchase_day_of_week",'Model Parameters'!$B$2:$B$46,I87),2))</x:f>
      </x:c>
      <x:c r="K87" s="48" t="str">
        <x:f>IF(B87="","",'Model Parameters'!$G$5*((B87-'Model Parameters'!$G$3)/'Model Parameters'!$G$4))</x:f>
      </x:c>
      <x:c r="L87" s="48" t="str">
        <x:f>IF(C87="","",'Model Parameters'!$G$6*IF(C87="Yes",1,0))</x:f>
      </x:c>
      <x:c r="M87" s="48" t="str">
        <x:f>IF(D87="","",SUMIFS('Model Parameters'!$C$2:$C$46,'Model Parameters'!$A$2:$A$46,"entry_product",'Model Parameters'!$B$2:$B$46,D87))</x:f>
      </x:c>
      <x:c r="N87" s="48" t="str">
        <x:f>IF(E87="","",SUMIFS('Model Parameters'!$C$2:$C$46,'Model Parameters'!$A$2:$A$46,"sales_channel",'Model Parameters'!$B$2:$B$46,E87))</x:f>
      </x:c>
      <x:c r="O87" s="48" t="str">
        <x:f>IF(F87="","",SUMIFS('Model Parameters'!$C$2:$C$46,'Model Parameters'!$A$2:$A$46,"gender",'Model Parameters'!$B$2:$B$46,F87))</x:f>
      </x:c>
      <x:c r="P87" s="48" t="str">
        <x:f>IF(G87="","",SUMIFS('Model Parameters'!$C$2:$C$46,'Model Parameters'!$A$2:$A$46,"education",'Model Parameters'!$B$2:$B$46,G87))</x:f>
      </x:c>
      <x:c r="Q87" s="48" t="str">
        <x:f>IF(H87="","",SUMIFS('Model Parameters'!$C$2:$C$46,'Model Parameters'!$A$2:$A$46,"purchase_month",'Model Parameters'!$B$2:$B$46,TEXT(H87,"0")))</x:f>
      </x:c>
      <x:c r="R87" s="48" t="str">
        <x:f>IF(I87="","",SUMIFS('Model Parameters'!$C$2:$C$46,'Model Parameters'!$A$2:$A$46,"purchase_day_of_week",'Model Parameters'!$B$2:$B$46,I87))</x:f>
      </x:c>
      <x:c r="S87" t="str">
        <x:f>IF(COUNTA(B87:I87)=0,"Waiting for input",IF(COUNTA(B87:I87)&lt;8,"Incomplete","Calculated"))</x:f>
        <x:v>Waiting for input</x:v>
      </x:c>
    </x:row>
    <x:row r="88">
      <x:c r="A88" s="36" t="str">
        <x:v>CUST-080</x:v>
      </x:c>
      <x:c r="B88" s="38"/>
      <x:c r="C88" s="36"/>
      <x:c r="D88" s="36"/>
      <x:c r="E88" s="36"/>
      <x:c r="F88" s="36"/>
      <x:c r="G88" s="36"/>
      <x:c r="H88" s="36"/>
      <x:c r="I88" s="36"/>
      <x:c r="J88" s="48" t="str">
        <x:f>IF(COUNTA(B88:I88)&lt;8,"",ROUND('Model Parameters'!$G$2+'Model Parameters'!$G$5*((B88-'Model Parameters'!$G$3)/'Model Parameters'!$G$4)+'Model Parameters'!$G$6*IF(C88="Yes",1,0)+SUMIFS('Model Parameters'!$C$2:$C$46,'Model Parameters'!$A$2:$A$46,"entry_product",'Model Parameters'!$B$2:$B$46,D88)+SUMIFS('Model Parameters'!$C$2:$C$46,'Model Parameters'!$A$2:$A$46,"sales_channel",'Model Parameters'!$B$2:$B$46,E88)+SUMIFS('Model Parameters'!$C$2:$C$46,'Model Parameters'!$A$2:$A$46,"gender",'Model Parameters'!$B$2:$B$46,F88)+SUMIFS('Model Parameters'!$C$2:$C$46,'Model Parameters'!$A$2:$A$46,"education",'Model Parameters'!$B$2:$B$46,G88)+SUMIFS('Model Parameters'!$C$2:$C$46,'Model Parameters'!$A$2:$A$46,"purchase_month",'Model Parameters'!$B$2:$B$46,TEXT(H88,"0"))+SUMIFS('Model Parameters'!$C$2:$C$46,'Model Parameters'!$A$2:$A$46,"purchase_day_of_week",'Model Parameters'!$B$2:$B$46,I88),2))</x:f>
      </x:c>
      <x:c r="K88" s="48" t="str">
        <x:f>IF(B88="","",'Model Parameters'!$G$5*((B88-'Model Parameters'!$G$3)/'Model Parameters'!$G$4))</x:f>
      </x:c>
      <x:c r="L88" s="48" t="str">
        <x:f>IF(C88="","",'Model Parameters'!$G$6*IF(C88="Yes",1,0))</x:f>
      </x:c>
      <x:c r="M88" s="48" t="str">
        <x:f>IF(D88="","",SUMIFS('Model Parameters'!$C$2:$C$46,'Model Parameters'!$A$2:$A$46,"entry_product",'Model Parameters'!$B$2:$B$46,D88))</x:f>
      </x:c>
      <x:c r="N88" s="48" t="str">
        <x:f>IF(E88="","",SUMIFS('Model Parameters'!$C$2:$C$46,'Model Parameters'!$A$2:$A$46,"sales_channel",'Model Parameters'!$B$2:$B$46,E88))</x:f>
      </x:c>
      <x:c r="O88" s="48" t="str">
        <x:f>IF(F88="","",SUMIFS('Model Parameters'!$C$2:$C$46,'Model Parameters'!$A$2:$A$46,"gender",'Model Parameters'!$B$2:$B$46,F88))</x:f>
      </x:c>
      <x:c r="P88" s="48" t="str">
        <x:f>IF(G88="","",SUMIFS('Model Parameters'!$C$2:$C$46,'Model Parameters'!$A$2:$A$46,"education",'Model Parameters'!$B$2:$B$46,G88))</x:f>
      </x:c>
      <x:c r="Q88" s="48" t="str">
        <x:f>IF(H88="","",SUMIFS('Model Parameters'!$C$2:$C$46,'Model Parameters'!$A$2:$A$46,"purchase_month",'Model Parameters'!$B$2:$B$46,TEXT(H88,"0")))</x:f>
      </x:c>
      <x:c r="R88" s="48" t="str">
        <x:f>IF(I88="","",SUMIFS('Model Parameters'!$C$2:$C$46,'Model Parameters'!$A$2:$A$46,"purchase_day_of_week",'Model Parameters'!$B$2:$B$46,I88))</x:f>
      </x:c>
      <x:c r="S88" t="str">
        <x:f>IF(COUNTA(B88:I88)=0,"Waiting for input",IF(COUNTA(B88:I88)&lt;8,"Incomplete","Calculated"))</x:f>
        <x:v>Waiting for input</x:v>
      </x:c>
    </x:row>
    <x:row r="89">
      <x:c r="A89" s="36" t="str">
        <x:v>CUST-081</x:v>
      </x:c>
      <x:c r="B89" s="38"/>
      <x:c r="C89" s="36"/>
      <x:c r="D89" s="36"/>
      <x:c r="E89" s="36"/>
      <x:c r="F89" s="36"/>
      <x:c r="G89" s="36"/>
      <x:c r="H89" s="36"/>
      <x:c r="I89" s="36"/>
      <x:c r="J89" s="48" t="str">
        <x:f>IF(COUNTA(B89:I89)&lt;8,"",ROUND('Model Parameters'!$G$2+'Model Parameters'!$G$5*((B89-'Model Parameters'!$G$3)/'Model Parameters'!$G$4)+'Model Parameters'!$G$6*IF(C89="Yes",1,0)+SUMIFS('Model Parameters'!$C$2:$C$46,'Model Parameters'!$A$2:$A$46,"entry_product",'Model Parameters'!$B$2:$B$46,D89)+SUMIFS('Model Parameters'!$C$2:$C$46,'Model Parameters'!$A$2:$A$46,"sales_channel",'Model Parameters'!$B$2:$B$46,E89)+SUMIFS('Model Parameters'!$C$2:$C$46,'Model Parameters'!$A$2:$A$46,"gender",'Model Parameters'!$B$2:$B$46,F89)+SUMIFS('Model Parameters'!$C$2:$C$46,'Model Parameters'!$A$2:$A$46,"education",'Model Parameters'!$B$2:$B$46,G89)+SUMIFS('Model Parameters'!$C$2:$C$46,'Model Parameters'!$A$2:$A$46,"purchase_month",'Model Parameters'!$B$2:$B$46,TEXT(H89,"0"))+SUMIFS('Model Parameters'!$C$2:$C$46,'Model Parameters'!$A$2:$A$46,"purchase_day_of_week",'Model Parameters'!$B$2:$B$46,I89),2))</x:f>
      </x:c>
      <x:c r="K89" s="48" t="str">
        <x:f>IF(B89="","",'Model Parameters'!$G$5*((B89-'Model Parameters'!$G$3)/'Model Parameters'!$G$4))</x:f>
      </x:c>
      <x:c r="L89" s="48" t="str">
        <x:f>IF(C89="","",'Model Parameters'!$G$6*IF(C89="Yes",1,0))</x:f>
      </x:c>
      <x:c r="M89" s="48" t="str">
        <x:f>IF(D89="","",SUMIFS('Model Parameters'!$C$2:$C$46,'Model Parameters'!$A$2:$A$46,"entry_product",'Model Parameters'!$B$2:$B$46,D89))</x:f>
      </x:c>
      <x:c r="N89" s="48" t="str">
        <x:f>IF(E89="","",SUMIFS('Model Parameters'!$C$2:$C$46,'Model Parameters'!$A$2:$A$46,"sales_channel",'Model Parameters'!$B$2:$B$46,E89))</x:f>
      </x:c>
      <x:c r="O89" s="48" t="str">
        <x:f>IF(F89="","",SUMIFS('Model Parameters'!$C$2:$C$46,'Model Parameters'!$A$2:$A$46,"gender",'Model Parameters'!$B$2:$B$46,F89))</x:f>
      </x:c>
      <x:c r="P89" s="48" t="str">
        <x:f>IF(G89="","",SUMIFS('Model Parameters'!$C$2:$C$46,'Model Parameters'!$A$2:$A$46,"education",'Model Parameters'!$B$2:$B$46,G89))</x:f>
      </x:c>
      <x:c r="Q89" s="48" t="str">
        <x:f>IF(H89="","",SUMIFS('Model Parameters'!$C$2:$C$46,'Model Parameters'!$A$2:$A$46,"purchase_month",'Model Parameters'!$B$2:$B$46,TEXT(H89,"0")))</x:f>
      </x:c>
      <x:c r="R89" s="48" t="str">
        <x:f>IF(I89="","",SUMIFS('Model Parameters'!$C$2:$C$46,'Model Parameters'!$A$2:$A$46,"purchase_day_of_week",'Model Parameters'!$B$2:$B$46,I89))</x:f>
      </x:c>
      <x:c r="S89" t="str">
        <x:f>IF(COUNTA(B89:I89)=0,"Waiting for input",IF(COUNTA(B89:I89)&lt;8,"Incomplete","Calculated"))</x:f>
        <x:v>Waiting for input</x:v>
      </x:c>
    </x:row>
    <x:row r="90">
      <x:c r="A90" s="36" t="str">
        <x:v>CUST-082</x:v>
      </x:c>
      <x:c r="B90" s="38"/>
      <x:c r="C90" s="36"/>
      <x:c r="D90" s="36"/>
      <x:c r="E90" s="36"/>
      <x:c r="F90" s="36"/>
      <x:c r="G90" s="36"/>
      <x:c r="H90" s="36"/>
      <x:c r="I90" s="36"/>
      <x:c r="J90" s="48" t="str">
        <x:f>IF(COUNTA(B90:I90)&lt;8,"",ROUND('Model Parameters'!$G$2+'Model Parameters'!$G$5*((B90-'Model Parameters'!$G$3)/'Model Parameters'!$G$4)+'Model Parameters'!$G$6*IF(C90="Yes",1,0)+SUMIFS('Model Parameters'!$C$2:$C$46,'Model Parameters'!$A$2:$A$46,"entry_product",'Model Parameters'!$B$2:$B$46,D90)+SUMIFS('Model Parameters'!$C$2:$C$46,'Model Parameters'!$A$2:$A$46,"sales_channel",'Model Parameters'!$B$2:$B$46,E90)+SUMIFS('Model Parameters'!$C$2:$C$46,'Model Parameters'!$A$2:$A$46,"gender",'Model Parameters'!$B$2:$B$46,F90)+SUMIFS('Model Parameters'!$C$2:$C$46,'Model Parameters'!$A$2:$A$46,"education",'Model Parameters'!$B$2:$B$46,G90)+SUMIFS('Model Parameters'!$C$2:$C$46,'Model Parameters'!$A$2:$A$46,"purchase_month",'Model Parameters'!$B$2:$B$46,TEXT(H90,"0"))+SUMIFS('Model Parameters'!$C$2:$C$46,'Model Parameters'!$A$2:$A$46,"purchase_day_of_week",'Model Parameters'!$B$2:$B$46,I90),2))</x:f>
      </x:c>
      <x:c r="K90" s="48" t="str">
        <x:f>IF(B90="","",'Model Parameters'!$G$5*((B90-'Model Parameters'!$G$3)/'Model Parameters'!$G$4))</x:f>
      </x:c>
      <x:c r="L90" s="48" t="str">
        <x:f>IF(C90="","",'Model Parameters'!$G$6*IF(C90="Yes",1,0))</x:f>
      </x:c>
      <x:c r="M90" s="48" t="str">
        <x:f>IF(D90="","",SUMIFS('Model Parameters'!$C$2:$C$46,'Model Parameters'!$A$2:$A$46,"entry_product",'Model Parameters'!$B$2:$B$46,D90))</x:f>
      </x:c>
      <x:c r="N90" s="48" t="str">
        <x:f>IF(E90="","",SUMIFS('Model Parameters'!$C$2:$C$46,'Model Parameters'!$A$2:$A$46,"sales_channel",'Model Parameters'!$B$2:$B$46,E90))</x:f>
      </x:c>
      <x:c r="O90" s="48" t="str">
        <x:f>IF(F90="","",SUMIFS('Model Parameters'!$C$2:$C$46,'Model Parameters'!$A$2:$A$46,"gender",'Model Parameters'!$B$2:$B$46,F90))</x:f>
      </x:c>
      <x:c r="P90" s="48" t="str">
        <x:f>IF(G90="","",SUMIFS('Model Parameters'!$C$2:$C$46,'Model Parameters'!$A$2:$A$46,"education",'Model Parameters'!$B$2:$B$46,G90))</x:f>
      </x:c>
      <x:c r="Q90" s="48" t="str">
        <x:f>IF(H90="","",SUMIFS('Model Parameters'!$C$2:$C$46,'Model Parameters'!$A$2:$A$46,"purchase_month",'Model Parameters'!$B$2:$B$46,TEXT(H90,"0")))</x:f>
      </x:c>
      <x:c r="R90" s="48" t="str">
        <x:f>IF(I90="","",SUMIFS('Model Parameters'!$C$2:$C$46,'Model Parameters'!$A$2:$A$46,"purchase_day_of_week",'Model Parameters'!$B$2:$B$46,I90))</x:f>
      </x:c>
      <x:c r="S90" t="str">
        <x:f>IF(COUNTA(B90:I90)=0,"Waiting for input",IF(COUNTA(B90:I90)&lt;8,"Incomplete","Calculated"))</x:f>
        <x:v>Waiting for input</x:v>
      </x:c>
    </x:row>
    <x:row r="91">
      <x:c r="A91" s="36" t="str">
        <x:v>CUST-083</x:v>
      </x:c>
      <x:c r="B91" s="38"/>
      <x:c r="C91" s="36"/>
      <x:c r="D91" s="36"/>
      <x:c r="E91" s="36"/>
      <x:c r="F91" s="36"/>
      <x:c r="G91" s="36"/>
      <x:c r="H91" s="36"/>
      <x:c r="I91" s="36"/>
      <x:c r="J91" s="48" t="str">
        <x:f>IF(COUNTA(B91:I91)&lt;8,"",ROUND('Model Parameters'!$G$2+'Model Parameters'!$G$5*((B91-'Model Parameters'!$G$3)/'Model Parameters'!$G$4)+'Model Parameters'!$G$6*IF(C91="Yes",1,0)+SUMIFS('Model Parameters'!$C$2:$C$46,'Model Parameters'!$A$2:$A$46,"entry_product",'Model Parameters'!$B$2:$B$46,D91)+SUMIFS('Model Parameters'!$C$2:$C$46,'Model Parameters'!$A$2:$A$46,"sales_channel",'Model Parameters'!$B$2:$B$46,E91)+SUMIFS('Model Parameters'!$C$2:$C$46,'Model Parameters'!$A$2:$A$46,"gender",'Model Parameters'!$B$2:$B$46,F91)+SUMIFS('Model Parameters'!$C$2:$C$46,'Model Parameters'!$A$2:$A$46,"education",'Model Parameters'!$B$2:$B$46,G91)+SUMIFS('Model Parameters'!$C$2:$C$46,'Model Parameters'!$A$2:$A$46,"purchase_month",'Model Parameters'!$B$2:$B$46,TEXT(H91,"0"))+SUMIFS('Model Parameters'!$C$2:$C$46,'Model Parameters'!$A$2:$A$46,"purchase_day_of_week",'Model Parameters'!$B$2:$B$46,I91),2))</x:f>
      </x:c>
      <x:c r="K91" s="48" t="str">
        <x:f>IF(B91="","",'Model Parameters'!$G$5*((B91-'Model Parameters'!$G$3)/'Model Parameters'!$G$4))</x:f>
      </x:c>
      <x:c r="L91" s="48" t="str">
        <x:f>IF(C91="","",'Model Parameters'!$G$6*IF(C91="Yes",1,0))</x:f>
      </x:c>
      <x:c r="M91" s="48" t="str">
        <x:f>IF(D91="","",SUMIFS('Model Parameters'!$C$2:$C$46,'Model Parameters'!$A$2:$A$46,"entry_product",'Model Parameters'!$B$2:$B$46,D91))</x:f>
      </x:c>
      <x:c r="N91" s="48" t="str">
        <x:f>IF(E91="","",SUMIFS('Model Parameters'!$C$2:$C$46,'Model Parameters'!$A$2:$A$46,"sales_channel",'Model Parameters'!$B$2:$B$46,E91))</x:f>
      </x:c>
      <x:c r="O91" s="48" t="str">
        <x:f>IF(F91="","",SUMIFS('Model Parameters'!$C$2:$C$46,'Model Parameters'!$A$2:$A$46,"gender",'Model Parameters'!$B$2:$B$46,F91))</x:f>
      </x:c>
      <x:c r="P91" s="48" t="str">
        <x:f>IF(G91="","",SUMIFS('Model Parameters'!$C$2:$C$46,'Model Parameters'!$A$2:$A$46,"education",'Model Parameters'!$B$2:$B$46,G91))</x:f>
      </x:c>
      <x:c r="Q91" s="48" t="str">
        <x:f>IF(H91="","",SUMIFS('Model Parameters'!$C$2:$C$46,'Model Parameters'!$A$2:$A$46,"purchase_month",'Model Parameters'!$B$2:$B$46,TEXT(H91,"0")))</x:f>
      </x:c>
      <x:c r="R91" s="48" t="str">
        <x:f>IF(I91="","",SUMIFS('Model Parameters'!$C$2:$C$46,'Model Parameters'!$A$2:$A$46,"purchase_day_of_week",'Model Parameters'!$B$2:$B$46,I91))</x:f>
      </x:c>
      <x:c r="S91" t="str">
        <x:f>IF(COUNTA(B91:I91)=0,"Waiting for input",IF(COUNTA(B91:I91)&lt;8,"Incomplete","Calculated"))</x:f>
        <x:v>Waiting for input</x:v>
      </x:c>
    </x:row>
    <x:row r="92">
      <x:c r="A92" s="36" t="str">
        <x:v>CUST-084</x:v>
      </x:c>
      <x:c r="B92" s="38"/>
      <x:c r="C92" s="36"/>
      <x:c r="D92" s="36"/>
      <x:c r="E92" s="36"/>
      <x:c r="F92" s="36"/>
      <x:c r="G92" s="36"/>
      <x:c r="H92" s="36"/>
      <x:c r="I92" s="36"/>
      <x:c r="J92" s="48" t="str">
        <x:f>IF(COUNTA(B92:I92)&lt;8,"",ROUND('Model Parameters'!$G$2+'Model Parameters'!$G$5*((B92-'Model Parameters'!$G$3)/'Model Parameters'!$G$4)+'Model Parameters'!$G$6*IF(C92="Yes",1,0)+SUMIFS('Model Parameters'!$C$2:$C$46,'Model Parameters'!$A$2:$A$46,"entry_product",'Model Parameters'!$B$2:$B$46,D92)+SUMIFS('Model Parameters'!$C$2:$C$46,'Model Parameters'!$A$2:$A$46,"sales_channel",'Model Parameters'!$B$2:$B$46,E92)+SUMIFS('Model Parameters'!$C$2:$C$46,'Model Parameters'!$A$2:$A$46,"gender",'Model Parameters'!$B$2:$B$46,F92)+SUMIFS('Model Parameters'!$C$2:$C$46,'Model Parameters'!$A$2:$A$46,"education",'Model Parameters'!$B$2:$B$46,G92)+SUMIFS('Model Parameters'!$C$2:$C$46,'Model Parameters'!$A$2:$A$46,"purchase_month",'Model Parameters'!$B$2:$B$46,TEXT(H92,"0"))+SUMIFS('Model Parameters'!$C$2:$C$46,'Model Parameters'!$A$2:$A$46,"purchase_day_of_week",'Model Parameters'!$B$2:$B$46,I92),2))</x:f>
      </x:c>
      <x:c r="K92" s="48" t="str">
        <x:f>IF(B92="","",'Model Parameters'!$G$5*((B92-'Model Parameters'!$G$3)/'Model Parameters'!$G$4))</x:f>
      </x:c>
      <x:c r="L92" s="48" t="str">
        <x:f>IF(C92="","",'Model Parameters'!$G$6*IF(C92="Yes",1,0))</x:f>
      </x:c>
      <x:c r="M92" s="48" t="str">
        <x:f>IF(D92="","",SUMIFS('Model Parameters'!$C$2:$C$46,'Model Parameters'!$A$2:$A$46,"entry_product",'Model Parameters'!$B$2:$B$46,D92))</x:f>
      </x:c>
      <x:c r="N92" s="48" t="str">
        <x:f>IF(E92="","",SUMIFS('Model Parameters'!$C$2:$C$46,'Model Parameters'!$A$2:$A$46,"sales_channel",'Model Parameters'!$B$2:$B$46,E92))</x:f>
      </x:c>
      <x:c r="O92" s="48" t="str">
        <x:f>IF(F92="","",SUMIFS('Model Parameters'!$C$2:$C$46,'Model Parameters'!$A$2:$A$46,"gender",'Model Parameters'!$B$2:$B$46,F92))</x:f>
      </x:c>
      <x:c r="P92" s="48" t="str">
        <x:f>IF(G92="","",SUMIFS('Model Parameters'!$C$2:$C$46,'Model Parameters'!$A$2:$A$46,"education",'Model Parameters'!$B$2:$B$46,G92))</x:f>
      </x:c>
      <x:c r="Q92" s="48" t="str">
        <x:f>IF(H92="","",SUMIFS('Model Parameters'!$C$2:$C$46,'Model Parameters'!$A$2:$A$46,"purchase_month",'Model Parameters'!$B$2:$B$46,TEXT(H92,"0")))</x:f>
      </x:c>
      <x:c r="R92" s="48" t="str">
        <x:f>IF(I92="","",SUMIFS('Model Parameters'!$C$2:$C$46,'Model Parameters'!$A$2:$A$46,"purchase_day_of_week",'Model Parameters'!$B$2:$B$46,I92))</x:f>
      </x:c>
      <x:c r="S92" t="str">
        <x:f>IF(COUNTA(B92:I92)=0,"Waiting for input",IF(COUNTA(B92:I92)&lt;8,"Incomplete","Calculated"))</x:f>
        <x:v>Waiting for input</x:v>
      </x:c>
    </x:row>
    <x:row r="93">
      <x:c r="A93" s="36" t="str">
        <x:v>CUST-085</x:v>
      </x:c>
      <x:c r="B93" s="38"/>
      <x:c r="C93" s="36"/>
      <x:c r="D93" s="36"/>
      <x:c r="E93" s="36"/>
      <x:c r="F93" s="36"/>
      <x:c r="G93" s="36"/>
      <x:c r="H93" s="36"/>
      <x:c r="I93" s="36"/>
      <x:c r="J93" s="48" t="str">
        <x:f>IF(COUNTA(B93:I93)&lt;8,"",ROUND('Model Parameters'!$G$2+'Model Parameters'!$G$5*((B93-'Model Parameters'!$G$3)/'Model Parameters'!$G$4)+'Model Parameters'!$G$6*IF(C93="Yes",1,0)+SUMIFS('Model Parameters'!$C$2:$C$46,'Model Parameters'!$A$2:$A$46,"entry_product",'Model Parameters'!$B$2:$B$46,D93)+SUMIFS('Model Parameters'!$C$2:$C$46,'Model Parameters'!$A$2:$A$46,"sales_channel",'Model Parameters'!$B$2:$B$46,E93)+SUMIFS('Model Parameters'!$C$2:$C$46,'Model Parameters'!$A$2:$A$46,"gender",'Model Parameters'!$B$2:$B$46,F93)+SUMIFS('Model Parameters'!$C$2:$C$46,'Model Parameters'!$A$2:$A$46,"education",'Model Parameters'!$B$2:$B$46,G93)+SUMIFS('Model Parameters'!$C$2:$C$46,'Model Parameters'!$A$2:$A$46,"purchase_month",'Model Parameters'!$B$2:$B$46,TEXT(H93,"0"))+SUMIFS('Model Parameters'!$C$2:$C$46,'Model Parameters'!$A$2:$A$46,"purchase_day_of_week",'Model Parameters'!$B$2:$B$46,I93),2))</x:f>
      </x:c>
      <x:c r="K93" s="48" t="str">
        <x:f>IF(B93="","",'Model Parameters'!$G$5*((B93-'Model Parameters'!$G$3)/'Model Parameters'!$G$4))</x:f>
      </x:c>
      <x:c r="L93" s="48" t="str">
        <x:f>IF(C93="","",'Model Parameters'!$G$6*IF(C93="Yes",1,0))</x:f>
      </x:c>
      <x:c r="M93" s="48" t="str">
        <x:f>IF(D93="","",SUMIFS('Model Parameters'!$C$2:$C$46,'Model Parameters'!$A$2:$A$46,"entry_product",'Model Parameters'!$B$2:$B$46,D93))</x:f>
      </x:c>
      <x:c r="N93" s="48" t="str">
        <x:f>IF(E93="","",SUMIFS('Model Parameters'!$C$2:$C$46,'Model Parameters'!$A$2:$A$46,"sales_channel",'Model Parameters'!$B$2:$B$46,E93))</x:f>
      </x:c>
      <x:c r="O93" s="48" t="str">
        <x:f>IF(F93="","",SUMIFS('Model Parameters'!$C$2:$C$46,'Model Parameters'!$A$2:$A$46,"gender",'Model Parameters'!$B$2:$B$46,F93))</x:f>
      </x:c>
      <x:c r="P93" s="48" t="str">
        <x:f>IF(G93="","",SUMIFS('Model Parameters'!$C$2:$C$46,'Model Parameters'!$A$2:$A$46,"education",'Model Parameters'!$B$2:$B$46,G93))</x:f>
      </x:c>
      <x:c r="Q93" s="48" t="str">
        <x:f>IF(H93="","",SUMIFS('Model Parameters'!$C$2:$C$46,'Model Parameters'!$A$2:$A$46,"purchase_month",'Model Parameters'!$B$2:$B$46,TEXT(H93,"0")))</x:f>
      </x:c>
      <x:c r="R93" s="48" t="str">
        <x:f>IF(I93="","",SUMIFS('Model Parameters'!$C$2:$C$46,'Model Parameters'!$A$2:$A$46,"purchase_day_of_week",'Model Parameters'!$B$2:$B$46,I93))</x:f>
      </x:c>
      <x:c r="S93" t="str">
        <x:f>IF(COUNTA(B93:I93)=0,"Waiting for input",IF(COUNTA(B93:I93)&lt;8,"Incomplete","Calculated"))</x:f>
        <x:v>Waiting for input</x:v>
      </x:c>
    </x:row>
    <x:row r="94">
      <x:c r="A94" s="36" t="str">
        <x:v>CUST-086</x:v>
      </x:c>
      <x:c r="B94" s="38"/>
      <x:c r="C94" s="36"/>
      <x:c r="D94" s="36"/>
      <x:c r="E94" s="36"/>
      <x:c r="F94" s="36"/>
      <x:c r="G94" s="36"/>
      <x:c r="H94" s="36"/>
      <x:c r="I94" s="36"/>
      <x:c r="J94" s="48" t="str">
        <x:f>IF(COUNTA(B94:I94)&lt;8,"",ROUND('Model Parameters'!$G$2+'Model Parameters'!$G$5*((B94-'Model Parameters'!$G$3)/'Model Parameters'!$G$4)+'Model Parameters'!$G$6*IF(C94="Yes",1,0)+SUMIFS('Model Parameters'!$C$2:$C$46,'Model Parameters'!$A$2:$A$46,"entry_product",'Model Parameters'!$B$2:$B$46,D94)+SUMIFS('Model Parameters'!$C$2:$C$46,'Model Parameters'!$A$2:$A$46,"sales_channel",'Model Parameters'!$B$2:$B$46,E94)+SUMIFS('Model Parameters'!$C$2:$C$46,'Model Parameters'!$A$2:$A$46,"gender",'Model Parameters'!$B$2:$B$46,F94)+SUMIFS('Model Parameters'!$C$2:$C$46,'Model Parameters'!$A$2:$A$46,"education",'Model Parameters'!$B$2:$B$46,G94)+SUMIFS('Model Parameters'!$C$2:$C$46,'Model Parameters'!$A$2:$A$46,"purchase_month",'Model Parameters'!$B$2:$B$46,TEXT(H94,"0"))+SUMIFS('Model Parameters'!$C$2:$C$46,'Model Parameters'!$A$2:$A$46,"purchase_day_of_week",'Model Parameters'!$B$2:$B$46,I94),2))</x:f>
      </x:c>
      <x:c r="K94" s="48" t="str">
        <x:f>IF(B94="","",'Model Parameters'!$G$5*((B94-'Model Parameters'!$G$3)/'Model Parameters'!$G$4))</x:f>
      </x:c>
      <x:c r="L94" s="48" t="str">
        <x:f>IF(C94="","",'Model Parameters'!$G$6*IF(C94="Yes",1,0))</x:f>
      </x:c>
      <x:c r="M94" s="48" t="str">
        <x:f>IF(D94="","",SUMIFS('Model Parameters'!$C$2:$C$46,'Model Parameters'!$A$2:$A$46,"entry_product",'Model Parameters'!$B$2:$B$46,D94))</x:f>
      </x:c>
      <x:c r="N94" s="48" t="str">
        <x:f>IF(E94="","",SUMIFS('Model Parameters'!$C$2:$C$46,'Model Parameters'!$A$2:$A$46,"sales_channel",'Model Parameters'!$B$2:$B$46,E94))</x:f>
      </x:c>
      <x:c r="O94" s="48" t="str">
        <x:f>IF(F94="","",SUMIFS('Model Parameters'!$C$2:$C$46,'Model Parameters'!$A$2:$A$46,"gender",'Model Parameters'!$B$2:$B$46,F94))</x:f>
      </x:c>
      <x:c r="P94" s="48" t="str">
        <x:f>IF(G94="","",SUMIFS('Model Parameters'!$C$2:$C$46,'Model Parameters'!$A$2:$A$46,"education",'Model Parameters'!$B$2:$B$46,G94))</x:f>
      </x:c>
      <x:c r="Q94" s="48" t="str">
        <x:f>IF(H94="","",SUMIFS('Model Parameters'!$C$2:$C$46,'Model Parameters'!$A$2:$A$46,"purchase_month",'Model Parameters'!$B$2:$B$46,TEXT(H94,"0")))</x:f>
      </x:c>
      <x:c r="R94" s="48" t="str">
        <x:f>IF(I94="","",SUMIFS('Model Parameters'!$C$2:$C$46,'Model Parameters'!$A$2:$A$46,"purchase_day_of_week",'Model Parameters'!$B$2:$B$46,I94))</x:f>
      </x:c>
      <x:c r="S94" t="str">
        <x:f>IF(COUNTA(B94:I94)=0,"Waiting for input",IF(COUNTA(B94:I94)&lt;8,"Incomplete","Calculated"))</x:f>
        <x:v>Waiting for input</x:v>
      </x:c>
    </x:row>
    <x:row r="95">
      <x:c r="A95" s="36" t="str">
        <x:v>CUST-087</x:v>
      </x:c>
      <x:c r="B95" s="38"/>
      <x:c r="C95" s="36"/>
      <x:c r="D95" s="36"/>
      <x:c r="E95" s="36"/>
      <x:c r="F95" s="36"/>
      <x:c r="G95" s="36"/>
      <x:c r="H95" s="36"/>
      <x:c r="I95" s="36"/>
      <x:c r="J95" s="48" t="str">
        <x:f>IF(COUNTA(B95:I95)&lt;8,"",ROUND('Model Parameters'!$G$2+'Model Parameters'!$G$5*((B95-'Model Parameters'!$G$3)/'Model Parameters'!$G$4)+'Model Parameters'!$G$6*IF(C95="Yes",1,0)+SUMIFS('Model Parameters'!$C$2:$C$46,'Model Parameters'!$A$2:$A$46,"entry_product",'Model Parameters'!$B$2:$B$46,D95)+SUMIFS('Model Parameters'!$C$2:$C$46,'Model Parameters'!$A$2:$A$46,"sales_channel",'Model Parameters'!$B$2:$B$46,E95)+SUMIFS('Model Parameters'!$C$2:$C$46,'Model Parameters'!$A$2:$A$46,"gender",'Model Parameters'!$B$2:$B$46,F95)+SUMIFS('Model Parameters'!$C$2:$C$46,'Model Parameters'!$A$2:$A$46,"education",'Model Parameters'!$B$2:$B$46,G95)+SUMIFS('Model Parameters'!$C$2:$C$46,'Model Parameters'!$A$2:$A$46,"purchase_month",'Model Parameters'!$B$2:$B$46,TEXT(H95,"0"))+SUMIFS('Model Parameters'!$C$2:$C$46,'Model Parameters'!$A$2:$A$46,"purchase_day_of_week",'Model Parameters'!$B$2:$B$46,I95),2))</x:f>
      </x:c>
      <x:c r="K95" s="48" t="str">
        <x:f>IF(B95="","",'Model Parameters'!$G$5*((B95-'Model Parameters'!$G$3)/'Model Parameters'!$G$4))</x:f>
      </x:c>
      <x:c r="L95" s="48" t="str">
        <x:f>IF(C95="","",'Model Parameters'!$G$6*IF(C95="Yes",1,0))</x:f>
      </x:c>
      <x:c r="M95" s="48" t="str">
        <x:f>IF(D95="","",SUMIFS('Model Parameters'!$C$2:$C$46,'Model Parameters'!$A$2:$A$46,"entry_product",'Model Parameters'!$B$2:$B$46,D95))</x:f>
      </x:c>
      <x:c r="N95" s="48" t="str">
        <x:f>IF(E95="","",SUMIFS('Model Parameters'!$C$2:$C$46,'Model Parameters'!$A$2:$A$46,"sales_channel",'Model Parameters'!$B$2:$B$46,E95))</x:f>
      </x:c>
      <x:c r="O95" s="48" t="str">
        <x:f>IF(F95="","",SUMIFS('Model Parameters'!$C$2:$C$46,'Model Parameters'!$A$2:$A$46,"gender",'Model Parameters'!$B$2:$B$46,F95))</x:f>
      </x:c>
      <x:c r="P95" s="48" t="str">
        <x:f>IF(G95="","",SUMIFS('Model Parameters'!$C$2:$C$46,'Model Parameters'!$A$2:$A$46,"education",'Model Parameters'!$B$2:$B$46,G95))</x:f>
      </x:c>
      <x:c r="Q95" s="48" t="str">
        <x:f>IF(H95="","",SUMIFS('Model Parameters'!$C$2:$C$46,'Model Parameters'!$A$2:$A$46,"purchase_month",'Model Parameters'!$B$2:$B$46,TEXT(H95,"0")))</x:f>
      </x:c>
      <x:c r="R95" s="48" t="str">
        <x:f>IF(I95="","",SUMIFS('Model Parameters'!$C$2:$C$46,'Model Parameters'!$A$2:$A$46,"purchase_day_of_week",'Model Parameters'!$B$2:$B$46,I95))</x:f>
      </x:c>
      <x:c r="S95" t="str">
        <x:f>IF(COUNTA(B95:I95)=0,"Waiting for input",IF(COUNTA(B95:I95)&lt;8,"Incomplete","Calculated"))</x:f>
        <x:v>Waiting for input</x:v>
      </x:c>
    </x:row>
    <x:row r="96">
      <x:c r="A96" s="36" t="str">
        <x:v>CUST-088</x:v>
      </x:c>
      <x:c r="B96" s="38"/>
      <x:c r="C96" s="36"/>
      <x:c r="D96" s="36"/>
      <x:c r="E96" s="36"/>
      <x:c r="F96" s="36"/>
      <x:c r="G96" s="36"/>
      <x:c r="H96" s="36"/>
      <x:c r="I96" s="36"/>
      <x:c r="J96" s="48" t="str">
        <x:f>IF(COUNTA(B96:I96)&lt;8,"",ROUND('Model Parameters'!$G$2+'Model Parameters'!$G$5*((B96-'Model Parameters'!$G$3)/'Model Parameters'!$G$4)+'Model Parameters'!$G$6*IF(C96="Yes",1,0)+SUMIFS('Model Parameters'!$C$2:$C$46,'Model Parameters'!$A$2:$A$46,"entry_product",'Model Parameters'!$B$2:$B$46,D96)+SUMIFS('Model Parameters'!$C$2:$C$46,'Model Parameters'!$A$2:$A$46,"sales_channel",'Model Parameters'!$B$2:$B$46,E96)+SUMIFS('Model Parameters'!$C$2:$C$46,'Model Parameters'!$A$2:$A$46,"gender",'Model Parameters'!$B$2:$B$46,F96)+SUMIFS('Model Parameters'!$C$2:$C$46,'Model Parameters'!$A$2:$A$46,"education",'Model Parameters'!$B$2:$B$46,G96)+SUMIFS('Model Parameters'!$C$2:$C$46,'Model Parameters'!$A$2:$A$46,"purchase_month",'Model Parameters'!$B$2:$B$46,TEXT(H96,"0"))+SUMIFS('Model Parameters'!$C$2:$C$46,'Model Parameters'!$A$2:$A$46,"purchase_day_of_week",'Model Parameters'!$B$2:$B$46,I96),2))</x:f>
      </x:c>
      <x:c r="K96" s="48" t="str">
        <x:f>IF(B96="","",'Model Parameters'!$G$5*((B96-'Model Parameters'!$G$3)/'Model Parameters'!$G$4))</x:f>
      </x:c>
      <x:c r="L96" s="48" t="str">
        <x:f>IF(C96="","",'Model Parameters'!$G$6*IF(C96="Yes",1,0))</x:f>
      </x:c>
      <x:c r="M96" s="48" t="str">
        <x:f>IF(D96="","",SUMIFS('Model Parameters'!$C$2:$C$46,'Model Parameters'!$A$2:$A$46,"entry_product",'Model Parameters'!$B$2:$B$46,D96))</x:f>
      </x:c>
      <x:c r="N96" s="48" t="str">
        <x:f>IF(E96="","",SUMIFS('Model Parameters'!$C$2:$C$46,'Model Parameters'!$A$2:$A$46,"sales_channel",'Model Parameters'!$B$2:$B$46,E96))</x:f>
      </x:c>
      <x:c r="O96" s="48" t="str">
        <x:f>IF(F96="","",SUMIFS('Model Parameters'!$C$2:$C$46,'Model Parameters'!$A$2:$A$46,"gender",'Model Parameters'!$B$2:$B$46,F96))</x:f>
      </x:c>
      <x:c r="P96" s="48" t="str">
        <x:f>IF(G96="","",SUMIFS('Model Parameters'!$C$2:$C$46,'Model Parameters'!$A$2:$A$46,"education",'Model Parameters'!$B$2:$B$46,G96))</x:f>
      </x:c>
      <x:c r="Q96" s="48" t="str">
        <x:f>IF(H96="","",SUMIFS('Model Parameters'!$C$2:$C$46,'Model Parameters'!$A$2:$A$46,"purchase_month",'Model Parameters'!$B$2:$B$46,TEXT(H96,"0")))</x:f>
      </x:c>
      <x:c r="R96" s="48" t="str">
        <x:f>IF(I96="","",SUMIFS('Model Parameters'!$C$2:$C$46,'Model Parameters'!$A$2:$A$46,"purchase_day_of_week",'Model Parameters'!$B$2:$B$46,I96))</x:f>
      </x:c>
      <x:c r="S96" t="str">
        <x:f>IF(COUNTA(B96:I96)=0,"Waiting for input",IF(COUNTA(B96:I96)&lt;8,"Incomplete","Calculated"))</x:f>
        <x:v>Waiting for input</x:v>
      </x:c>
    </x:row>
    <x:row r="97">
      <x:c r="A97" s="36" t="str">
        <x:v>CUST-089</x:v>
      </x:c>
      <x:c r="B97" s="38"/>
      <x:c r="C97" s="36"/>
      <x:c r="D97" s="36"/>
      <x:c r="E97" s="36"/>
      <x:c r="F97" s="36"/>
      <x:c r="G97" s="36"/>
      <x:c r="H97" s="36"/>
      <x:c r="I97" s="36"/>
      <x:c r="J97" s="48" t="str">
        <x:f>IF(COUNTA(B97:I97)&lt;8,"",ROUND('Model Parameters'!$G$2+'Model Parameters'!$G$5*((B97-'Model Parameters'!$G$3)/'Model Parameters'!$G$4)+'Model Parameters'!$G$6*IF(C97="Yes",1,0)+SUMIFS('Model Parameters'!$C$2:$C$46,'Model Parameters'!$A$2:$A$46,"entry_product",'Model Parameters'!$B$2:$B$46,D97)+SUMIFS('Model Parameters'!$C$2:$C$46,'Model Parameters'!$A$2:$A$46,"sales_channel",'Model Parameters'!$B$2:$B$46,E97)+SUMIFS('Model Parameters'!$C$2:$C$46,'Model Parameters'!$A$2:$A$46,"gender",'Model Parameters'!$B$2:$B$46,F97)+SUMIFS('Model Parameters'!$C$2:$C$46,'Model Parameters'!$A$2:$A$46,"education",'Model Parameters'!$B$2:$B$46,G97)+SUMIFS('Model Parameters'!$C$2:$C$46,'Model Parameters'!$A$2:$A$46,"purchase_month",'Model Parameters'!$B$2:$B$46,TEXT(H97,"0"))+SUMIFS('Model Parameters'!$C$2:$C$46,'Model Parameters'!$A$2:$A$46,"purchase_day_of_week",'Model Parameters'!$B$2:$B$46,I97),2))</x:f>
      </x:c>
      <x:c r="K97" s="48" t="str">
        <x:f>IF(B97="","",'Model Parameters'!$G$5*((B97-'Model Parameters'!$G$3)/'Model Parameters'!$G$4))</x:f>
      </x:c>
      <x:c r="L97" s="48" t="str">
        <x:f>IF(C97="","",'Model Parameters'!$G$6*IF(C97="Yes",1,0))</x:f>
      </x:c>
      <x:c r="M97" s="48" t="str">
        <x:f>IF(D97="","",SUMIFS('Model Parameters'!$C$2:$C$46,'Model Parameters'!$A$2:$A$46,"entry_product",'Model Parameters'!$B$2:$B$46,D97))</x:f>
      </x:c>
      <x:c r="N97" s="48" t="str">
        <x:f>IF(E97="","",SUMIFS('Model Parameters'!$C$2:$C$46,'Model Parameters'!$A$2:$A$46,"sales_channel",'Model Parameters'!$B$2:$B$46,E97))</x:f>
      </x:c>
      <x:c r="O97" s="48" t="str">
        <x:f>IF(F97="","",SUMIFS('Model Parameters'!$C$2:$C$46,'Model Parameters'!$A$2:$A$46,"gender",'Model Parameters'!$B$2:$B$46,F97))</x:f>
      </x:c>
      <x:c r="P97" s="48" t="str">
        <x:f>IF(G97="","",SUMIFS('Model Parameters'!$C$2:$C$46,'Model Parameters'!$A$2:$A$46,"education",'Model Parameters'!$B$2:$B$46,G97))</x:f>
      </x:c>
      <x:c r="Q97" s="48" t="str">
        <x:f>IF(H97="","",SUMIFS('Model Parameters'!$C$2:$C$46,'Model Parameters'!$A$2:$A$46,"purchase_month",'Model Parameters'!$B$2:$B$46,TEXT(H97,"0")))</x:f>
      </x:c>
      <x:c r="R97" s="48" t="str">
        <x:f>IF(I97="","",SUMIFS('Model Parameters'!$C$2:$C$46,'Model Parameters'!$A$2:$A$46,"purchase_day_of_week",'Model Parameters'!$B$2:$B$46,I97))</x:f>
      </x:c>
      <x:c r="S97" t="str">
        <x:f>IF(COUNTA(B97:I97)=0,"Waiting for input",IF(COUNTA(B97:I97)&lt;8,"Incomplete","Calculated"))</x:f>
        <x:v>Waiting for input</x:v>
      </x:c>
    </x:row>
    <x:row r="98">
      <x:c r="A98" s="36" t="str">
        <x:v>CUST-090</x:v>
      </x:c>
      <x:c r="B98" s="38"/>
      <x:c r="C98" s="36"/>
      <x:c r="D98" s="36"/>
      <x:c r="E98" s="36"/>
      <x:c r="F98" s="36"/>
      <x:c r="G98" s="36"/>
      <x:c r="H98" s="36"/>
      <x:c r="I98" s="36"/>
      <x:c r="J98" s="48" t="str">
        <x:f>IF(COUNTA(B98:I98)&lt;8,"",ROUND('Model Parameters'!$G$2+'Model Parameters'!$G$5*((B98-'Model Parameters'!$G$3)/'Model Parameters'!$G$4)+'Model Parameters'!$G$6*IF(C98="Yes",1,0)+SUMIFS('Model Parameters'!$C$2:$C$46,'Model Parameters'!$A$2:$A$46,"entry_product",'Model Parameters'!$B$2:$B$46,D98)+SUMIFS('Model Parameters'!$C$2:$C$46,'Model Parameters'!$A$2:$A$46,"sales_channel",'Model Parameters'!$B$2:$B$46,E98)+SUMIFS('Model Parameters'!$C$2:$C$46,'Model Parameters'!$A$2:$A$46,"gender",'Model Parameters'!$B$2:$B$46,F98)+SUMIFS('Model Parameters'!$C$2:$C$46,'Model Parameters'!$A$2:$A$46,"education",'Model Parameters'!$B$2:$B$46,G98)+SUMIFS('Model Parameters'!$C$2:$C$46,'Model Parameters'!$A$2:$A$46,"purchase_month",'Model Parameters'!$B$2:$B$46,TEXT(H98,"0"))+SUMIFS('Model Parameters'!$C$2:$C$46,'Model Parameters'!$A$2:$A$46,"purchase_day_of_week",'Model Parameters'!$B$2:$B$46,I98),2))</x:f>
      </x:c>
      <x:c r="K98" s="48" t="str">
        <x:f>IF(B98="","",'Model Parameters'!$G$5*((B98-'Model Parameters'!$G$3)/'Model Parameters'!$G$4))</x:f>
      </x:c>
      <x:c r="L98" s="48" t="str">
        <x:f>IF(C98="","",'Model Parameters'!$G$6*IF(C98="Yes",1,0))</x:f>
      </x:c>
      <x:c r="M98" s="48" t="str">
        <x:f>IF(D98="","",SUMIFS('Model Parameters'!$C$2:$C$46,'Model Parameters'!$A$2:$A$46,"entry_product",'Model Parameters'!$B$2:$B$46,D98))</x:f>
      </x:c>
      <x:c r="N98" s="48" t="str">
        <x:f>IF(E98="","",SUMIFS('Model Parameters'!$C$2:$C$46,'Model Parameters'!$A$2:$A$46,"sales_channel",'Model Parameters'!$B$2:$B$46,E98))</x:f>
      </x:c>
      <x:c r="O98" s="48" t="str">
        <x:f>IF(F98="","",SUMIFS('Model Parameters'!$C$2:$C$46,'Model Parameters'!$A$2:$A$46,"gender",'Model Parameters'!$B$2:$B$46,F98))</x:f>
      </x:c>
      <x:c r="P98" s="48" t="str">
        <x:f>IF(G98="","",SUMIFS('Model Parameters'!$C$2:$C$46,'Model Parameters'!$A$2:$A$46,"education",'Model Parameters'!$B$2:$B$46,G98))</x:f>
      </x:c>
      <x:c r="Q98" s="48" t="str">
        <x:f>IF(H98="","",SUMIFS('Model Parameters'!$C$2:$C$46,'Model Parameters'!$A$2:$A$46,"purchase_month",'Model Parameters'!$B$2:$B$46,TEXT(H98,"0")))</x:f>
      </x:c>
      <x:c r="R98" s="48" t="str">
        <x:f>IF(I98="","",SUMIFS('Model Parameters'!$C$2:$C$46,'Model Parameters'!$A$2:$A$46,"purchase_day_of_week",'Model Parameters'!$B$2:$B$46,I98))</x:f>
      </x:c>
      <x:c r="S98" t="str">
        <x:f>IF(COUNTA(B98:I98)=0,"Waiting for input",IF(COUNTA(B98:I98)&lt;8,"Incomplete","Calculated"))</x:f>
        <x:v>Waiting for input</x:v>
      </x:c>
    </x:row>
    <x:row r="99">
      <x:c r="A99" s="36" t="str">
        <x:v>CUST-091</x:v>
      </x:c>
      <x:c r="B99" s="38"/>
      <x:c r="C99" s="36"/>
      <x:c r="D99" s="36"/>
      <x:c r="E99" s="36"/>
      <x:c r="F99" s="36"/>
      <x:c r="G99" s="36"/>
      <x:c r="H99" s="36"/>
      <x:c r="I99" s="36"/>
      <x:c r="J99" s="48" t="str">
        <x:f>IF(COUNTA(B99:I99)&lt;8,"",ROUND('Model Parameters'!$G$2+'Model Parameters'!$G$5*((B99-'Model Parameters'!$G$3)/'Model Parameters'!$G$4)+'Model Parameters'!$G$6*IF(C99="Yes",1,0)+SUMIFS('Model Parameters'!$C$2:$C$46,'Model Parameters'!$A$2:$A$46,"entry_product",'Model Parameters'!$B$2:$B$46,D99)+SUMIFS('Model Parameters'!$C$2:$C$46,'Model Parameters'!$A$2:$A$46,"sales_channel",'Model Parameters'!$B$2:$B$46,E99)+SUMIFS('Model Parameters'!$C$2:$C$46,'Model Parameters'!$A$2:$A$46,"gender",'Model Parameters'!$B$2:$B$46,F99)+SUMIFS('Model Parameters'!$C$2:$C$46,'Model Parameters'!$A$2:$A$46,"education",'Model Parameters'!$B$2:$B$46,G99)+SUMIFS('Model Parameters'!$C$2:$C$46,'Model Parameters'!$A$2:$A$46,"purchase_month",'Model Parameters'!$B$2:$B$46,TEXT(H99,"0"))+SUMIFS('Model Parameters'!$C$2:$C$46,'Model Parameters'!$A$2:$A$46,"purchase_day_of_week",'Model Parameters'!$B$2:$B$46,I99),2))</x:f>
      </x:c>
      <x:c r="K99" s="48" t="str">
        <x:f>IF(B99="","",'Model Parameters'!$G$5*((B99-'Model Parameters'!$G$3)/'Model Parameters'!$G$4))</x:f>
      </x:c>
      <x:c r="L99" s="48" t="str">
        <x:f>IF(C99="","",'Model Parameters'!$G$6*IF(C99="Yes",1,0))</x:f>
      </x:c>
      <x:c r="M99" s="48" t="str">
        <x:f>IF(D99="","",SUMIFS('Model Parameters'!$C$2:$C$46,'Model Parameters'!$A$2:$A$46,"entry_product",'Model Parameters'!$B$2:$B$46,D99))</x:f>
      </x:c>
      <x:c r="N99" s="48" t="str">
        <x:f>IF(E99="","",SUMIFS('Model Parameters'!$C$2:$C$46,'Model Parameters'!$A$2:$A$46,"sales_channel",'Model Parameters'!$B$2:$B$46,E99))</x:f>
      </x:c>
      <x:c r="O99" s="48" t="str">
        <x:f>IF(F99="","",SUMIFS('Model Parameters'!$C$2:$C$46,'Model Parameters'!$A$2:$A$46,"gender",'Model Parameters'!$B$2:$B$46,F99))</x:f>
      </x:c>
      <x:c r="P99" s="48" t="str">
        <x:f>IF(G99="","",SUMIFS('Model Parameters'!$C$2:$C$46,'Model Parameters'!$A$2:$A$46,"education",'Model Parameters'!$B$2:$B$46,G99))</x:f>
      </x:c>
      <x:c r="Q99" s="48" t="str">
        <x:f>IF(H99="","",SUMIFS('Model Parameters'!$C$2:$C$46,'Model Parameters'!$A$2:$A$46,"purchase_month",'Model Parameters'!$B$2:$B$46,TEXT(H99,"0")))</x:f>
      </x:c>
      <x:c r="R99" s="48" t="str">
        <x:f>IF(I99="","",SUMIFS('Model Parameters'!$C$2:$C$46,'Model Parameters'!$A$2:$A$46,"purchase_day_of_week",'Model Parameters'!$B$2:$B$46,I99))</x:f>
      </x:c>
      <x:c r="S99" t="str">
        <x:f>IF(COUNTA(B99:I99)=0,"Waiting for input",IF(COUNTA(B99:I99)&lt;8,"Incomplete","Calculated"))</x:f>
        <x:v>Waiting for input</x:v>
      </x:c>
    </x:row>
    <x:row r="100">
      <x:c r="A100" s="36" t="str">
        <x:v>CUST-092</x:v>
      </x:c>
      <x:c r="B100" s="38"/>
      <x:c r="C100" s="36"/>
      <x:c r="D100" s="36"/>
      <x:c r="E100" s="36"/>
      <x:c r="F100" s="36"/>
      <x:c r="G100" s="36"/>
      <x:c r="H100" s="36"/>
      <x:c r="I100" s="36"/>
      <x:c r="J100" s="48" t="str">
        <x:f>IF(COUNTA(B100:I100)&lt;8,"",ROUND('Model Parameters'!$G$2+'Model Parameters'!$G$5*((B100-'Model Parameters'!$G$3)/'Model Parameters'!$G$4)+'Model Parameters'!$G$6*IF(C100="Yes",1,0)+SUMIFS('Model Parameters'!$C$2:$C$46,'Model Parameters'!$A$2:$A$46,"entry_product",'Model Parameters'!$B$2:$B$46,D100)+SUMIFS('Model Parameters'!$C$2:$C$46,'Model Parameters'!$A$2:$A$46,"sales_channel",'Model Parameters'!$B$2:$B$46,E100)+SUMIFS('Model Parameters'!$C$2:$C$46,'Model Parameters'!$A$2:$A$46,"gender",'Model Parameters'!$B$2:$B$46,F100)+SUMIFS('Model Parameters'!$C$2:$C$46,'Model Parameters'!$A$2:$A$46,"education",'Model Parameters'!$B$2:$B$46,G100)+SUMIFS('Model Parameters'!$C$2:$C$46,'Model Parameters'!$A$2:$A$46,"purchase_month",'Model Parameters'!$B$2:$B$46,TEXT(H100,"0"))+SUMIFS('Model Parameters'!$C$2:$C$46,'Model Parameters'!$A$2:$A$46,"purchase_day_of_week",'Model Parameters'!$B$2:$B$46,I100),2))</x:f>
      </x:c>
      <x:c r="K100" s="48" t="str">
        <x:f>IF(B100="","",'Model Parameters'!$G$5*((B100-'Model Parameters'!$G$3)/'Model Parameters'!$G$4))</x:f>
      </x:c>
      <x:c r="L100" s="48" t="str">
        <x:f>IF(C100="","",'Model Parameters'!$G$6*IF(C100="Yes",1,0))</x:f>
      </x:c>
      <x:c r="M100" s="48" t="str">
        <x:f>IF(D100="","",SUMIFS('Model Parameters'!$C$2:$C$46,'Model Parameters'!$A$2:$A$46,"entry_product",'Model Parameters'!$B$2:$B$46,D100))</x:f>
      </x:c>
      <x:c r="N100" s="48" t="str">
        <x:f>IF(E100="","",SUMIFS('Model Parameters'!$C$2:$C$46,'Model Parameters'!$A$2:$A$46,"sales_channel",'Model Parameters'!$B$2:$B$46,E100))</x:f>
      </x:c>
      <x:c r="O100" s="48" t="str">
        <x:f>IF(F100="","",SUMIFS('Model Parameters'!$C$2:$C$46,'Model Parameters'!$A$2:$A$46,"gender",'Model Parameters'!$B$2:$B$46,F100))</x:f>
      </x:c>
      <x:c r="P100" s="48" t="str">
        <x:f>IF(G100="","",SUMIFS('Model Parameters'!$C$2:$C$46,'Model Parameters'!$A$2:$A$46,"education",'Model Parameters'!$B$2:$B$46,G100))</x:f>
      </x:c>
      <x:c r="Q100" s="48" t="str">
        <x:f>IF(H100="","",SUMIFS('Model Parameters'!$C$2:$C$46,'Model Parameters'!$A$2:$A$46,"purchase_month",'Model Parameters'!$B$2:$B$46,TEXT(H100,"0")))</x:f>
      </x:c>
      <x:c r="R100" s="48" t="str">
        <x:f>IF(I100="","",SUMIFS('Model Parameters'!$C$2:$C$46,'Model Parameters'!$A$2:$A$46,"purchase_day_of_week",'Model Parameters'!$B$2:$B$46,I100))</x:f>
      </x:c>
      <x:c r="S100" t="str">
        <x:f>IF(COUNTA(B100:I100)=0,"Waiting for input",IF(COUNTA(B100:I100)&lt;8,"Incomplete","Calculated"))</x:f>
        <x:v>Waiting for input</x:v>
      </x:c>
    </x:row>
    <x:row r="101">
      <x:c r="A101" s="36" t="str">
        <x:v>CUST-093</x:v>
      </x:c>
      <x:c r="B101" s="38"/>
      <x:c r="C101" s="36"/>
      <x:c r="D101" s="36"/>
      <x:c r="E101" s="36"/>
      <x:c r="F101" s="36"/>
      <x:c r="G101" s="36"/>
      <x:c r="H101" s="36"/>
      <x:c r="I101" s="36"/>
      <x:c r="J101" s="48" t="str">
        <x:f>IF(COUNTA(B101:I101)&lt;8,"",ROUND('Model Parameters'!$G$2+'Model Parameters'!$G$5*((B101-'Model Parameters'!$G$3)/'Model Parameters'!$G$4)+'Model Parameters'!$G$6*IF(C101="Yes",1,0)+SUMIFS('Model Parameters'!$C$2:$C$46,'Model Parameters'!$A$2:$A$46,"entry_product",'Model Parameters'!$B$2:$B$46,D101)+SUMIFS('Model Parameters'!$C$2:$C$46,'Model Parameters'!$A$2:$A$46,"sales_channel",'Model Parameters'!$B$2:$B$46,E101)+SUMIFS('Model Parameters'!$C$2:$C$46,'Model Parameters'!$A$2:$A$46,"gender",'Model Parameters'!$B$2:$B$46,F101)+SUMIFS('Model Parameters'!$C$2:$C$46,'Model Parameters'!$A$2:$A$46,"education",'Model Parameters'!$B$2:$B$46,G101)+SUMIFS('Model Parameters'!$C$2:$C$46,'Model Parameters'!$A$2:$A$46,"purchase_month",'Model Parameters'!$B$2:$B$46,TEXT(H101,"0"))+SUMIFS('Model Parameters'!$C$2:$C$46,'Model Parameters'!$A$2:$A$46,"purchase_day_of_week",'Model Parameters'!$B$2:$B$46,I101),2))</x:f>
      </x:c>
      <x:c r="K101" s="48" t="str">
        <x:f>IF(B101="","",'Model Parameters'!$G$5*((B101-'Model Parameters'!$G$3)/'Model Parameters'!$G$4))</x:f>
      </x:c>
      <x:c r="L101" s="48" t="str">
        <x:f>IF(C101="","",'Model Parameters'!$G$6*IF(C101="Yes",1,0))</x:f>
      </x:c>
      <x:c r="M101" s="48" t="str">
        <x:f>IF(D101="","",SUMIFS('Model Parameters'!$C$2:$C$46,'Model Parameters'!$A$2:$A$46,"entry_product",'Model Parameters'!$B$2:$B$46,D101))</x:f>
      </x:c>
      <x:c r="N101" s="48" t="str">
        <x:f>IF(E101="","",SUMIFS('Model Parameters'!$C$2:$C$46,'Model Parameters'!$A$2:$A$46,"sales_channel",'Model Parameters'!$B$2:$B$46,E101))</x:f>
      </x:c>
      <x:c r="O101" s="48" t="str">
        <x:f>IF(F101="","",SUMIFS('Model Parameters'!$C$2:$C$46,'Model Parameters'!$A$2:$A$46,"gender",'Model Parameters'!$B$2:$B$46,F101))</x:f>
      </x:c>
      <x:c r="P101" s="48" t="str">
        <x:f>IF(G101="","",SUMIFS('Model Parameters'!$C$2:$C$46,'Model Parameters'!$A$2:$A$46,"education",'Model Parameters'!$B$2:$B$46,G101))</x:f>
      </x:c>
      <x:c r="Q101" s="48" t="str">
        <x:f>IF(H101="","",SUMIFS('Model Parameters'!$C$2:$C$46,'Model Parameters'!$A$2:$A$46,"purchase_month",'Model Parameters'!$B$2:$B$46,TEXT(H101,"0")))</x:f>
      </x:c>
      <x:c r="R101" s="48" t="str">
        <x:f>IF(I101="","",SUMIFS('Model Parameters'!$C$2:$C$46,'Model Parameters'!$A$2:$A$46,"purchase_day_of_week",'Model Parameters'!$B$2:$B$46,I101))</x:f>
      </x:c>
      <x:c r="S101" t="str">
        <x:f>IF(COUNTA(B101:I101)=0,"Waiting for input",IF(COUNTA(B101:I101)&lt;8,"Incomplete","Calculated"))</x:f>
        <x:v>Waiting for input</x:v>
      </x:c>
    </x:row>
    <x:row r="102">
      <x:c r="A102" s="36" t="str">
        <x:v>CUST-094</x:v>
      </x:c>
      <x:c r="B102" s="38"/>
      <x:c r="C102" s="36"/>
      <x:c r="D102" s="36"/>
      <x:c r="E102" s="36"/>
      <x:c r="F102" s="36"/>
      <x:c r="G102" s="36"/>
      <x:c r="H102" s="36"/>
      <x:c r="I102" s="36"/>
      <x:c r="J102" s="48" t="str">
        <x:f>IF(COUNTA(B102:I102)&lt;8,"",ROUND('Model Parameters'!$G$2+'Model Parameters'!$G$5*((B102-'Model Parameters'!$G$3)/'Model Parameters'!$G$4)+'Model Parameters'!$G$6*IF(C102="Yes",1,0)+SUMIFS('Model Parameters'!$C$2:$C$46,'Model Parameters'!$A$2:$A$46,"entry_product",'Model Parameters'!$B$2:$B$46,D102)+SUMIFS('Model Parameters'!$C$2:$C$46,'Model Parameters'!$A$2:$A$46,"sales_channel",'Model Parameters'!$B$2:$B$46,E102)+SUMIFS('Model Parameters'!$C$2:$C$46,'Model Parameters'!$A$2:$A$46,"gender",'Model Parameters'!$B$2:$B$46,F102)+SUMIFS('Model Parameters'!$C$2:$C$46,'Model Parameters'!$A$2:$A$46,"education",'Model Parameters'!$B$2:$B$46,G102)+SUMIFS('Model Parameters'!$C$2:$C$46,'Model Parameters'!$A$2:$A$46,"purchase_month",'Model Parameters'!$B$2:$B$46,TEXT(H102,"0"))+SUMIFS('Model Parameters'!$C$2:$C$46,'Model Parameters'!$A$2:$A$46,"purchase_day_of_week",'Model Parameters'!$B$2:$B$46,I102),2))</x:f>
      </x:c>
      <x:c r="K102" s="48" t="str">
        <x:f>IF(B102="","",'Model Parameters'!$G$5*((B102-'Model Parameters'!$G$3)/'Model Parameters'!$G$4))</x:f>
      </x:c>
      <x:c r="L102" s="48" t="str">
        <x:f>IF(C102="","",'Model Parameters'!$G$6*IF(C102="Yes",1,0))</x:f>
      </x:c>
      <x:c r="M102" s="48" t="str">
        <x:f>IF(D102="","",SUMIFS('Model Parameters'!$C$2:$C$46,'Model Parameters'!$A$2:$A$46,"entry_product",'Model Parameters'!$B$2:$B$46,D102))</x:f>
      </x:c>
      <x:c r="N102" s="48" t="str">
        <x:f>IF(E102="","",SUMIFS('Model Parameters'!$C$2:$C$46,'Model Parameters'!$A$2:$A$46,"sales_channel",'Model Parameters'!$B$2:$B$46,E102))</x:f>
      </x:c>
      <x:c r="O102" s="48" t="str">
        <x:f>IF(F102="","",SUMIFS('Model Parameters'!$C$2:$C$46,'Model Parameters'!$A$2:$A$46,"gender",'Model Parameters'!$B$2:$B$46,F102))</x:f>
      </x:c>
      <x:c r="P102" s="48" t="str">
        <x:f>IF(G102="","",SUMIFS('Model Parameters'!$C$2:$C$46,'Model Parameters'!$A$2:$A$46,"education",'Model Parameters'!$B$2:$B$46,G102))</x:f>
      </x:c>
      <x:c r="Q102" s="48" t="str">
        <x:f>IF(H102="","",SUMIFS('Model Parameters'!$C$2:$C$46,'Model Parameters'!$A$2:$A$46,"purchase_month",'Model Parameters'!$B$2:$B$46,TEXT(H102,"0")))</x:f>
      </x:c>
      <x:c r="R102" s="48" t="str">
        <x:f>IF(I102="","",SUMIFS('Model Parameters'!$C$2:$C$46,'Model Parameters'!$A$2:$A$46,"purchase_day_of_week",'Model Parameters'!$B$2:$B$46,I102))</x:f>
      </x:c>
      <x:c r="S102" t="str">
        <x:f>IF(COUNTA(B102:I102)=0,"Waiting for input",IF(COUNTA(B102:I102)&lt;8,"Incomplete","Calculated"))</x:f>
        <x:v>Waiting for input</x:v>
      </x:c>
    </x:row>
    <x:row r="103">
      <x:c r="A103" s="36" t="str">
        <x:v>CUST-095</x:v>
      </x:c>
      <x:c r="B103" s="38"/>
      <x:c r="C103" s="36"/>
      <x:c r="D103" s="36"/>
      <x:c r="E103" s="36"/>
      <x:c r="F103" s="36"/>
      <x:c r="G103" s="36"/>
      <x:c r="H103" s="36"/>
      <x:c r="I103" s="36"/>
      <x:c r="J103" s="48" t="str">
        <x:f>IF(COUNTA(B103:I103)&lt;8,"",ROUND('Model Parameters'!$G$2+'Model Parameters'!$G$5*((B103-'Model Parameters'!$G$3)/'Model Parameters'!$G$4)+'Model Parameters'!$G$6*IF(C103="Yes",1,0)+SUMIFS('Model Parameters'!$C$2:$C$46,'Model Parameters'!$A$2:$A$46,"entry_product",'Model Parameters'!$B$2:$B$46,D103)+SUMIFS('Model Parameters'!$C$2:$C$46,'Model Parameters'!$A$2:$A$46,"sales_channel",'Model Parameters'!$B$2:$B$46,E103)+SUMIFS('Model Parameters'!$C$2:$C$46,'Model Parameters'!$A$2:$A$46,"gender",'Model Parameters'!$B$2:$B$46,F103)+SUMIFS('Model Parameters'!$C$2:$C$46,'Model Parameters'!$A$2:$A$46,"education",'Model Parameters'!$B$2:$B$46,G103)+SUMIFS('Model Parameters'!$C$2:$C$46,'Model Parameters'!$A$2:$A$46,"purchase_month",'Model Parameters'!$B$2:$B$46,TEXT(H103,"0"))+SUMIFS('Model Parameters'!$C$2:$C$46,'Model Parameters'!$A$2:$A$46,"purchase_day_of_week",'Model Parameters'!$B$2:$B$46,I103),2))</x:f>
      </x:c>
      <x:c r="K103" s="48" t="str">
        <x:f>IF(B103="","",'Model Parameters'!$G$5*((B103-'Model Parameters'!$G$3)/'Model Parameters'!$G$4))</x:f>
      </x:c>
      <x:c r="L103" s="48" t="str">
        <x:f>IF(C103="","",'Model Parameters'!$G$6*IF(C103="Yes",1,0))</x:f>
      </x:c>
      <x:c r="M103" s="48" t="str">
        <x:f>IF(D103="","",SUMIFS('Model Parameters'!$C$2:$C$46,'Model Parameters'!$A$2:$A$46,"entry_product",'Model Parameters'!$B$2:$B$46,D103))</x:f>
      </x:c>
      <x:c r="N103" s="48" t="str">
        <x:f>IF(E103="","",SUMIFS('Model Parameters'!$C$2:$C$46,'Model Parameters'!$A$2:$A$46,"sales_channel",'Model Parameters'!$B$2:$B$46,E103))</x:f>
      </x:c>
      <x:c r="O103" s="48" t="str">
        <x:f>IF(F103="","",SUMIFS('Model Parameters'!$C$2:$C$46,'Model Parameters'!$A$2:$A$46,"gender",'Model Parameters'!$B$2:$B$46,F103))</x:f>
      </x:c>
      <x:c r="P103" s="48" t="str">
        <x:f>IF(G103="","",SUMIFS('Model Parameters'!$C$2:$C$46,'Model Parameters'!$A$2:$A$46,"education",'Model Parameters'!$B$2:$B$46,G103))</x:f>
      </x:c>
      <x:c r="Q103" s="48" t="str">
        <x:f>IF(H103="","",SUMIFS('Model Parameters'!$C$2:$C$46,'Model Parameters'!$A$2:$A$46,"purchase_month",'Model Parameters'!$B$2:$B$46,TEXT(H103,"0")))</x:f>
      </x:c>
      <x:c r="R103" s="48" t="str">
        <x:f>IF(I103="","",SUMIFS('Model Parameters'!$C$2:$C$46,'Model Parameters'!$A$2:$A$46,"purchase_day_of_week",'Model Parameters'!$B$2:$B$46,I103))</x:f>
      </x:c>
      <x:c r="S103" t="str">
        <x:f>IF(COUNTA(B103:I103)=0,"Waiting for input",IF(COUNTA(B103:I103)&lt;8,"Incomplete","Calculated"))</x:f>
        <x:v>Waiting for input</x:v>
      </x:c>
    </x:row>
    <x:row r="104">
      <x:c r="A104" s="36" t="str">
        <x:v>CUST-096</x:v>
      </x:c>
      <x:c r="B104" s="38"/>
      <x:c r="C104" s="36"/>
      <x:c r="D104" s="36"/>
      <x:c r="E104" s="36"/>
      <x:c r="F104" s="36"/>
      <x:c r="G104" s="36"/>
      <x:c r="H104" s="36"/>
      <x:c r="I104" s="36"/>
      <x:c r="J104" s="48" t="str">
        <x:f>IF(COUNTA(B104:I104)&lt;8,"",ROUND('Model Parameters'!$G$2+'Model Parameters'!$G$5*((B104-'Model Parameters'!$G$3)/'Model Parameters'!$G$4)+'Model Parameters'!$G$6*IF(C104="Yes",1,0)+SUMIFS('Model Parameters'!$C$2:$C$46,'Model Parameters'!$A$2:$A$46,"entry_product",'Model Parameters'!$B$2:$B$46,D104)+SUMIFS('Model Parameters'!$C$2:$C$46,'Model Parameters'!$A$2:$A$46,"sales_channel",'Model Parameters'!$B$2:$B$46,E104)+SUMIFS('Model Parameters'!$C$2:$C$46,'Model Parameters'!$A$2:$A$46,"gender",'Model Parameters'!$B$2:$B$46,F104)+SUMIFS('Model Parameters'!$C$2:$C$46,'Model Parameters'!$A$2:$A$46,"education",'Model Parameters'!$B$2:$B$46,G104)+SUMIFS('Model Parameters'!$C$2:$C$46,'Model Parameters'!$A$2:$A$46,"purchase_month",'Model Parameters'!$B$2:$B$46,TEXT(H104,"0"))+SUMIFS('Model Parameters'!$C$2:$C$46,'Model Parameters'!$A$2:$A$46,"purchase_day_of_week",'Model Parameters'!$B$2:$B$46,I104),2))</x:f>
      </x:c>
      <x:c r="K104" s="48" t="str">
        <x:f>IF(B104="","",'Model Parameters'!$G$5*((B104-'Model Parameters'!$G$3)/'Model Parameters'!$G$4))</x:f>
      </x:c>
      <x:c r="L104" s="48" t="str">
        <x:f>IF(C104="","",'Model Parameters'!$G$6*IF(C104="Yes",1,0))</x:f>
      </x:c>
      <x:c r="M104" s="48" t="str">
        <x:f>IF(D104="","",SUMIFS('Model Parameters'!$C$2:$C$46,'Model Parameters'!$A$2:$A$46,"entry_product",'Model Parameters'!$B$2:$B$46,D104))</x:f>
      </x:c>
      <x:c r="N104" s="48" t="str">
        <x:f>IF(E104="","",SUMIFS('Model Parameters'!$C$2:$C$46,'Model Parameters'!$A$2:$A$46,"sales_channel",'Model Parameters'!$B$2:$B$46,E104))</x:f>
      </x:c>
      <x:c r="O104" s="48" t="str">
        <x:f>IF(F104="","",SUMIFS('Model Parameters'!$C$2:$C$46,'Model Parameters'!$A$2:$A$46,"gender",'Model Parameters'!$B$2:$B$46,F104))</x:f>
      </x:c>
      <x:c r="P104" s="48" t="str">
        <x:f>IF(G104="","",SUMIFS('Model Parameters'!$C$2:$C$46,'Model Parameters'!$A$2:$A$46,"education",'Model Parameters'!$B$2:$B$46,G104))</x:f>
      </x:c>
      <x:c r="Q104" s="48" t="str">
        <x:f>IF(H104="","",SUMIFS('Model Parameters'!$C$2:$C$46,'Model Parameters'!$A$2:$A$46,"purchase_month",'Model Parameters'!$B$2:$B$46,TEXT(H104,"0")))</x:f>
      </x:c>
      <x:c r="R104" s="48" t="str">
        <x:f>IF(I104="","",SUMIFS('Model Parameters'!$C$2:$C$46,'Model Parameters'!$A$2:$A$46,"purchase_day_of_week",'Model Parameters'!$B$2:$B$46,I104))</x:f>
      </x:c>
      <x:c r="S104" t="str">
        <x:f>IF(COUNTA(B104:I104)=0,"Waiting for input",IF(COUNTA(B104:I104)&lt;8,"Incomplete","Calculated"))</x:f>
        <x:v>Waiting for input</x:v>
      </x:c>
    </x:row>
    <x:row r="105">
      <x:c r="A105" s="36" t="str">
        <x:v>CUST-097</x:v>
      </x:c>
      <x:c r="B105" s="38"/>
      <x:c r="C105" s="36"/>
      <x:c r="D105" s="36"/>
      <x:c r="E105" s="36"/>
      <x:c r="F105" s="36"/>
      <x:c r="G105" s="36"/>
      <x:c r="H105" s="36"/>
      <x:c r="I105" s="36"/>
      <x:c r="J105" s="48" t="str">
        <x:f>IF(COUNTA(B105:I105)&lt;8,"",ROUND('Model Parameters'!$G$2+'Model Parameters'!$G$5*((B105-'Model Parameters'!$G$3)/'Model Parameters'!$G$4)+'Model Parameters'!$G$6*IF(C105="Yes",1,0)+SUMIFS('Model Parameters'!$C$2:$C$46,'Model Parameters'!$A$2:$A$46,"entry_product",'Model Parameters'!$B$2:$B$46,D105)+SUMIFS('Model Parameters'!$C$2:$C$46,'Model Parameters'!$A$2:$A$46,"sales_channel",'Model Parameters'!$B$2:$B$46,E105)+SUMIFS('Model Parameters'!$C$2:$C$46,'Model Parameters'!$A$2:$A$46,"gender",'Model Parameters'!$B$2:$B$46,F105)+SUMIFS('Model Parameters'!$C$2:$C$46,'Model Parameters'!$A$2:$A$46,"education",'Model Parameters'!$B$2:$B$46,G105)+SUMIFS('Model Parameters'!$C$2:$C$46,'Model Parameters'!$A$2:$A$46,"purchase_month",'Model Parameters'!$B$2:$B$46,TEXT(H105,"0"))+SUMIFS('Model Parameters'!$C$2:$C$46,'Model Parameters'!$A$2:$A$46,"purchase_day_of_week",'Model Parameters'!$B$2:$B$46,I105),2))</x:f>
      </x:c>
      <x:c r="K105" s="48" t="str">
        <x:f>IF(B105="","",'Model Parameters'!$G$5*((B105-'Model Parameters'!$G$3)/'Model Parameters'!$G$4))</x:f>
      </x:c>
      <x:c r="L105" s="48" t="str">
        <x:f>IF(C105="","",'Model Parameters'!$G$6*IF(C105="Yes",1,0))</x:f>
      </x:c>
      <x:c r="M105" s="48" t="str">
        <x:f>IF(D105="","",SUMIFS('Model Parameters'!$C$2:$C$46,'Model Parameters'!$A$2:$A$46,"entry_product",'Model Parameters'!$B$2:$B$46,D105))</x:f>
      </x:c>
      <x:c r="N105" s="48" t="str">
        <x:f>IF(E105="","",SUMIFS('Model Parameters'!$C$2:$C$46,'Model Parameters'!$A$2:$A$46,"sales_channel",'Model Parameters'!$B$2:$B$46,E105))</x:f>
      </x:c>
      <x:c r="O105" s="48" t="str">
        <x:f>IF(F105="","",SUMIFS('Model Parameters'!$C$2:$C$46,'Model Parameters'!$A$2:$A$46,"gender",'Model Parameters'!$B$2:$B$46,F105))</x:f>
      </x:c>
      <x:c r="P105" s="48" t="str">
        <x:f>IF(G105="","",SUMIFS('Model Parameters'!$C$2:$C$46,'Model Parameters'!$A$2:$A$46,"education",'Model Parameters'!$B$2:$B$46,G105))</x:f>
      </x:c>
      <x:c r="Q105" s="48" t="str">
        <x:f>IF(H105="","",SUMIFS('Model Parameters'!$C$2:$C$46,'Model Parameters'!$A$2:$A$46,"purchase_month",'Model Parameters'!$B$2:$B$46,TEXT(H105,"0")))</x:f>
      </x:c>
      <x:c r="R105" s="48" t="str">
        <x:f>IF(I105="","",SUMIFS('Model Parameters'!$C$2:$C$46,'Model Parameters'!$A$2:$A$46,"purchase_day_of_week",'Model Parameters'!$B$2:$B$46,I105))</x:f>
      </x:c>
      <x:c r="S105" t="str">
        <x:f>IF(COUNTA(B105:I105)=0,"Waiting for input",IF(COUNTA(B105:I105)&lt;8,"Incomplete","Calculated"))</x:f>
        <x:v>Waiting for input</x:v>
      </x:c>
    </x:row>
    <x:row r="106">
      <x:c r="A106" s="36" t="str">
        <x:v>CUST-098</x:v>
      </x:c>
      <x:c r="B106" s="38"/>
      <x:c r="C106" s="36"/>
      <x:c r="D106" s="36"/>
      <x:c r="E106" s="36"/>
      <x:c r="F106" s="36"/>
      <x:c r="G106" s="36"/>
      <x:c r="H106" s="36"/>
      <x:c r="I106" s="36"/>
      <x:c r="J106" s="48" t="str">
        <x:f>IF(COUNTA(B106:I106)&lt;8,"",ROUND('Model Parameters'!$G$2+'Model Parameters'!$G$5*((B106-'Model Parameters'!$G$3)/'Model Parameters'!$G$4)+'Model Parameters'!$G$6*IF(C106="Yes",1,0)+SUMIFS('Model Parameters'!$C$2:$C$46,'Model Parameters'!$A$2:$A$46,"entry_product",'Model Parameters'!$B$2:$B$46,D106)+SUMIFS('Model Parameters'!$C$2:$C$46,'Model Parameters'!$A$2:$A$46,"sales_channel",'Model Parameters'!$B$2:$B$46,E106)+SUMIFS('Model Parameters'!$C$2:$C$46,'Model Parameters'!$A$2:$A$46,"gender",'Model Parameters'!$B$2:$B$46,F106)+SUMIFS('Model Parameters'!$C$2:$C$46,'Model Parameters'!$A$2:$A$46,"education",'Model Parameters'!$B$2:$B$46,G106)+SUMIFS('Model Parameters'!$C$2:$C$46,'Model Parameters'!$A$2:$A$46,"purchase_month",'Model Parameters'!$B$2:$B$46,TEXT(H106,"0"))+SUMIFS('Model Parameters'!$C$2:$C$46,'Model Parameters'!$A$2:$A$46,"purchase_day_of_week",'Model Parameters'!$B$2:$B$46,I106),2))</x:f>
      </x:c>
      <x:c r="K106" s="48" t="str">
        <x:f>IF(B106="","",'Model Parameters'!$G$5*((B106-'Model Parameters'!$G$3)/'Model Parameters'!$G$4))</x:f>
      </x:c>
      <x:c r="L106" s="48" t="str">
        <x:f>IF(C106="","",'Model Parameters'!$G$6*IF(C106="Yes",1,0))</x:f>
      </x:c>
      <x:c r="M106" s="48" t="str">
        <x:f>IF(D106="","",SUMIFS('Model Parameters'!$C$2:$C$46,'Model Parameters'!$A$2:$A$46,"entry_product",'Model Parameters'!$B$2:$B$46,D106))</x:f>
      </x:c>
      <x:c r="N106" s="48" t="str">
        <x:f>IF(E106="","",SUMIFS('Model Parameters'!$C$2:$C$46,'Model Parameters'!$A$2:$A$46,"sales_channel",'Model Parameters'!$B$2:$B$46,E106))</x:f>
      </x:c>
      <x:c r="O106" s="48" t="str">
        <x:f>IF(F106="","",SUMIFS('Model Parameters'!$C$2:$C$46,'Model Parameters'!$A$2:$A$46,"gender",'Model Parameters'!$B$2:$B$46,F106))</x:f>
      </x:c>
      <x:c r="P106" s="48" t="str">
        <x:f>IF(G106="","",SUMIFS('Model Parameters'!$C$2:$C$46,'Model Parameters'!$A$2:$A$46,"education",'Model Parameters'!$B$2:$B$46,G106))</x:f>
      </x:c>
      <x:c r="Q106" s="48" t="str">
        <x:f>IF(H106="","",SUMIFS('Model Parameters'!$C$2:$C$46,'Model Parameters'!$A$2:$A$46,"purchase_month",'Model Parameters'!$B$2:$B$46,TEXT(H106,"0")))</x:f>
      </x:c>
      <x:c r="R106" s="48" t="str">
        <x:f>IF(I106="","",SUMIFS('Model Parameters'!$C$2:$C$46,'Model Parameters'!$A$2:$A$46,"purchase_day_of_week",'Model Parameters'!$B$2:$B$46,I106))</x:f>
      </x:c>
      <x:c r="S106" t="str">
        <x:f>IF(COUNTA(B106:I106)=0,"Waiting for input",IF(COUNTA(B106:I106)&lt;8,"Incomplete","Calculated"))</x:f>
        <x:v>Waiting for input</x:v>
      </x:c>
    </x:row>
    <x:row r="107">
      <x:c r="A107" s="36" t="str">
        <x:v>CUST-099</x:v>
      </x:c>
      <x:c r="B107" s="38"/>
      <x:c r="C107" s="36"/>
      <x:c r="D107" s="36"/>
      <x:c r="E107" s="36"/>
      <x:c r="F107" s="36"/>
      <x:c r="G107" s="36"/>
      <x:c r="H107" s="36"/>
      <x:c r="I107" s="36"/>
      <x:c r="J107" s="48" t="str">
        <x:f>IF(COUNTA(B107:I107)&lt;8,"",ROUND('Model Parameters'!$G$2+'Model Parameters'!$G$5*((B107-'Model Parameters'!$G$3)/'Model Parameters'!$G$4)+'Model Parameters'!$G$6*IF(C107="Yes",1,0)+SUMIFS('Model Parameters'!$C$2:$C$46,'Model Parameters'!$A$2:$A$46,"entry_product",'Model Parameters'!$B$2:$B$46,D107)+SUMIFS('Model Parameters'!$C$2:$C$46,'Model Parameters'!$A$2:$A$46,"sales_channel",'Model Parameters'!$B$2:$B$46,E107)+SUMIFS('Model Parameters'!$C$2:$C$46,'Model Parameters'!$A$2:$A$46,"gender",'Model Parameters'!$B$2:$B$46,F107)+SUMIFS('Model Parameters'!$C$2:$C$46,'Model Parameters'!$A$2:$A$46,"education",'Model Parameters'!$B$2:$B$46,G107)+SUMIFS('Model Parameters'!$C$2:$C$46,'Model Parameters'!$A$2:$A$46,"purchase_month",'Model Parameters'!$B$2:$B$46,TEXT(H107,"0"))+SUMIFS('Model Parameters'!$C$2:$C$46,'Model Parameters'!$A$2:$A$46,"purchase_day_of_week",'Model Parameters'!$B$2:$B$46,I107),2))</x:f>
      </x:c>
      <x:c r="K107" s="48" t="str">
        <x:f>IF(B107="","",'Model Parameters'!$G$5*((B107-'Model Parameters'!$G$3)/'Model Parameters'!$G$4))</x:f>
      </x:c>
      <x:c r="L107" s="48" t="str">
        <x:f>IF(C107="","",'Model Parameters'!$G$6*IF(C107="Yes",1,0))</x:f>
      </x:c>
      <x:c r="M107" s="48" t="str">
        <x:f>IF(D107="","",SUMIFS('Model Parameters'!$C$2:$C$46,'Model Parameters'!$A$2:$A$46,"entry_product",'Model Parameters'!$B$2:$B$46,D107))</x:f>
      </x:c>
      <x:c r="N107" s="48" t="str">
        <x:f>IF(E107="","",SUMIFS('Model Parameters'!$C$2:$C$46,'Model Parameters'!$A$2:$A$46,"sales_channel",'Model Parameters'!$B$2:$B$46,E107))</x:f>
      </x:c>
      <x:c r="O107" s="48" t="str">
        <x:f>IF(F107="","",SUMIFS('Model Parameters'!$C$2:$C$46,'Model Parameters'!$A$2:$A$46,"gender",'Model Parameters'!$B$2:$B$46,F107))</x:f>
      </x:c>
      <x:c r="P107" s="48" t="str">
        <x:f>IF(G107="","",SUMIFS('Model Parameters'!$C$2:$C$46,'Model Parameters'!$A$2:$A$46,"education",'Model Parameters'!$B$2:$B$46,G107))</x:f>
      </x:c>
      <x:c r="Q107" s="48" t="str">
        <x:f>IF(H107="","",SUMIFS('Model Parameters'!$C$2:$C$46,'Model Parameters'!$A$2:$A$46,"purchase_month",'Model Parameters'!$B$2:$B$46,TEXT(H107,"0")))</x:f>
      </x:c>
      <x:c r="R107" s="48" t="str">
        <x:f>IF(I107="","",SUMIFS('Model Parameters'!$C$2:$C$46,'Model Parameters'!$A$2:$A$46,"purchase_day_of_week",'Model Parameters'!$B$2:$B$46,I107))</x:f>
      </x:c>
      <x:c r="S107" t="str">
        <x:f>IF(COUNTA(B107:I107)=0,"Waiting for input",IF(COUNTA(B107:I107)&lt;8,"Incomplete","Calculated"))</x:f>
        <x:v>Waiting for input</x:v>
      </x:c>
    </x:row>
    <x:row r="108">
      <x:c r="A108" s="36" t="str">
        <x:v>CUST-100</x:v>
      </x:c>
      <x:c r="B108" s="38"/>
      <x:c r="C108" s="36"/>
      <x:c r="D108" s="36"/>
      <x:c r="E108" s="36"/>
      <x:c r="F108" s="36"/>
      <x:c r="G108" s="36"/>
      <x:c r="H108" s="36"/>
      <x:c r="I108" s="36"/>
      <x:c r="J108" s="48" t="str">
        <x:f>IF(COUNTA(B108:I108)&lt;8,"",ROUND('Model Parameters'!$G$2+'Model Parameters'!$G$5*((B108-'Model Parameters'!$G$3)/'Model Parameters'!$G$4)+'Model Parameters'!$G$6*IF(C108="Yes",1,0)+SUMIFS('Model Parameters'!$C$2:$C$46,'Model Parameters'!$A$2:$A$46,"entry_product",'Model Parameters'!$B$2:$B$46,D108)+SUMIFS('Model Parameters'!$C$2:$C$46,'Model Parameters'!$A$2:$A$46,"sales_channel",'Model Parameters'!$B$2:$B$46,E108)+SUMIFS('Model Parameters'!$C$2:$C$46,'Model Parameters'!$A$2:$A$46,"gender",'Model Parameters'!$B$2:$B$46,F108)+SUMIFS('Model Parameters'!$C$2:$C$46,'Model Parameters'!$A$2:$A$46,"education",'Model Parameters'!$B$2:$B$46,G108)+SUMIFS('Model Parameters'!$C$2:$C$46,'Model Parameters'!$A$2:$A$46,"purchase_month",'Model Parameters'!$B$2:$B$46,TEXT(H108,"0"))+SUMIFS('Model Parameters'!$C$2:$C$46,'Model Parameters'!$A$2:$A$46,"purchase_day_of_week",'Model Parameters'!$B$2:$B$46,I108),2))</x:f>
      </x:c>
      <x:c r="K108" s="48" t="str">
        <x:f>IF(B108="","",'Model Parameters'!$G$5*((B108-'Model Parameters'!$G$3)/'Model Parameters'!$G$4))</x:f>
      </x:c>
      <x:c r="L108" s="48" t="str">
        <x:f>IF(C108="","",'Model Parameters'!$G$6*IF(C108="Yes",1,0))</x:f>
      </x:c>
      <x:c r="M108" s="48" t="str">
        <x:f>IF(D108="","",SUMIFS('Model Parameters'!$C$2:$C$46,'Model Parameters'!$A$2:$A$46,"entry_product",'Model Parameters'!$B$2:$B$46,D108))</x:f>
      </x:c>
      <x:c r="N108" s="48" t="str">
        <x:f>IF(E108="","",SUMIFS('Model Parameters'!$C$2:$C$46,'Model Parameters'!$A$2:$A$46,"sales_channel",'Model Parameters'!$B$2:$B$46,E108))</x:f>
      </x:c>
      <x:c r="O108" s="48" t="str">
        <x:f>IF(F108="","",SUMIFS('Model Parameters'!$C$2:$C$46,'Model Parameters'!$A$2:$A$46,"gender",'Model Parameters'!$B$2:$B$46,F108))</x:f>
      </x:c>
      <x:c r="P108" s="48" t="str">
        <x:f>IF(G108="","",SUMIFS('Model Parameters'!$C$2:$C$46,'Model Parameters'!$A$2:$A$46,"education",'Model Parameters'!$B$2:$B$46,G108))</x:f>
      </x:c>
      <x:c r="Q108" s="48" t="str">
        <x:f>IF(H108="","",SUMIFS('Model Parameters'!$C$2:$C$46,'Model Parameters'!$A$2:$A$46,"purchase_month",'Model Parameters'!$B$2:$B$46,TEXT(H108,"0")))</x:f>
      </x:c>
      <x:c r="R108" s="48" t="str">
        <x:f>IF(I108="","",SUMIFS('Model Parameters'!$C$2:$C$46,'Model Parameters'!$A$2:$A$46,"purchase_day_of_week",'Model Parameters'!$B$2:$B$46,I108))</x:f>
      </x:c>
      <x:c r="S108" t="str">
        <x:f>IF(COUNTA(B108:I108)=0,"Waiting for input",IF(COUNTA(B108:I108)&lt;8,"Incomplete","Calculated"))</x:f>
        <x:v>Waiting for input</x:v>
      </x:c>
    </x:row>
  </x:sheetData>
  <x:mergeCells>
    <x:mergeCell ref="A1:S2"/>
    <x:mergeCell ref="A3:S3"/>
  </x:mergeCells>
  <x:conditionalFormatting sqref="K9:R108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S9:S108">
    <x:cfRule type="expression" dxfId="2" priority="3">
      <x:formula>S9="Calculated"</x:formula>
    </x:cfRule>
    <x:cfRule type="expression" dxfId="3" priority="4">
      <x:formula>S9="Incomplete"</x:formula>
    </x:cfRule>
  </x:conditionalFormatting>
  <x:dataValidations count="7">
    <x:dataValidation type="list" sqref="C9:C108">
      <x:formula1>"No,Yes"</x:formula1>
    </x:dataValidation>
    <x:dataValidation type="list" sqref="D9:D108">
      <x:formula1>"Commercial,Community,Data Analysis,Data Science,Excel,Full Stack JavaScript,Lifetime Access,Other,Power BI,Python"</x:formula1>
    </x:dataValidation>
    <x:dataValidation type="list" sqref="E9:E108">
      <x:formula1>"Checkout,Commercial,Direct Traffic,Launch,Other,Waitlist,Webinar"</x:formula1>
    </x:dataValidation>
    <x:dataValidation type="list" sqref="F9:F108">
      <x:formula1>"Female,Male,Other"</x:formula1>
    </x:dataValidation>
    <x:dataValidation type="list" sqref="G9:G108">
      <x:formula1>"Basic Education,High School,Higher Education - Complete,Higher Education - Incomplete,Higher Education+,Not Reported"</x:formula1>
    </x:dataValidation>
    <x:dataValidation type="list" sqref="H9:H108">
      <x:formula1>"1,2,3,4,5,6,7,8,9,10,11,12"</x:formula1>
    </x:dataValidation>
    <x:dataValidation type="list" sqref="I9:I108">
      <x:formula1>"Friday,Monday,Saturday,Sunday,Thursday,Tuesday,Wednesday"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742649d807492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8" hidden="0" customWidth="1"/>
    <x:col min="4" max="4" width="22" hidden="0" customWidth="1"/>
    <x:col min="6" max="6" width="30" hidden="0" customWidth="1"/>
    <x:col min="7" max="7" width="18" hidden="0" customWidth="1"/>
  </x:cols>
  <x:sheetData>
    <x:row r="1">
      <x:c r="A1" s="42" t="str">
        <x:v>Feature</x:v>
      </x:c>
      <x:c r="B1" s="42" t="str">
        <x:v>Category</x:v>
      </x:c>
      <x:c r="C1" s="42" t="str">
        <x:v>Coefficient</x:v>
      </x:c>
      <x:c r="D1" s="42" t="str">
        <x:v>Note</x:v>
      </x:c>
      <x:c r="F1" s="27" t="str">
        <x:v>Parameter</x:v>
      </x:c>
      <x:c r="G1" s="27" t="str">
        <x:v>Value</x:v>
      </x:c>
    </x:row>
    <x:row r="2">
      <x:c r="A2" t="str">
        <x:v>entry_product</x:v>
      </x:c>
      <x:c r="B2" t="str">
        <x:v>Commercial</x:v>
      </x:c>
      <x:c r="C2" s="46" t="n">
        <x:v>0</x:v>
      </x:c>
      <x:c r="D2" t="str">
        <x:v>Reference category</x:v>
      </x:c>
      <x:c r="F2" t="str">
        <x:v>Intercept</x:v>
      </x:c>
      <x:c r="G2" t="n">
        <x:v>2747.8860654835735</x:v>
      </x:c>
    </x:row>
    <x:row r="3">
      <x:c r="A3" t="str">
        <x:v>entry_product</x:v>
      </x:c>
      <x:c r="B3" t="str">
        <x:v>Community</x:v>
      </x:c>
      <x:c r="C3" s="46" t="n">
        <x:v>-306.13934499170807</x:v>
      </x:c>
      <x:c r="D3" t="str"/>
      <x:c r="F3" t="str">
        <x:v>Mean - first_purchase_value</x:v>
      </x:c>
      <x:c r="G3" t="n">
        <x:v>715.1107747634687</x:v>
      </x:c>
    </x:row>
    <x:row r="4">
      <x:c r="A4" t="str">
        <x:v>entry_product</x:v>
      </x:c>
      <x:c r="B4" t="str">
        <x:v>Data Analysis</x:v>
      </x:c>
      <x:c r="C4" s="46" t="n">
        <x:v>-155.9120117547081</x:v>
      </x:c>
      <x:c r="D4" t="str"/>
      <x:c r="F4" t="str">
        <x:v>Scale - first_purchase_value</x:v>
      </x:c>
      <x:c r="G4" t="n">
        <x:v>665.9064613725793</x:v>
      </x:c>
    </x:row>
    <x:row r="5">
      <x:c r="A5" t="str">
        <x:v>entry_product</x:v>
      </x:c>
      <x:c r="B5" t="str">
        <x:v>Data Science</x:v>
      </x:c>
      <x:c r="C5" s="46" t="n">
        <x:v>91.26021762208455</x:v>
      </x:c>
      <x:c r="D5" t="str"/>
      <x:c r="F5" t="str">
        <x:v>Coefficient - first_purchase_value</x:v>
      </x:c>
      <x:c r="G5" t="n">
        <x:v>1013.2873103571518</x:v>
      </x:c>
    </x:row>
    <x:row r="6">
      <x:c r="A6" t="str">
        <x:v>entry_product</x:v>
      </x:c>
      <x:c r="B6" t="str">
        <x:v>Excel</x:v>
      </x:c>
      <x:c r="C6" s="46" t="n">
        <x:v>-253.36933078605395</x:v>
      </x:c>
      <x:c r="D6" t="str"/>
      <x:c r="F6" t="str">
        <x:v>Coefficient - recurring_first_purchase</x:v>
      </x:c>
      <x:c r="G6" t="n">
        <x:v>-368.7296916216356</x:v>
      </x:c>
    </x:row>
    <x:row r="7">
      <x:c r="A7" t="str">
        <x:v>entry_product</x:v>
      </x:c>
      <x:c r="B7" t="str">
        <x:v>Full Stack JavaScript</x:v>
      </x:c>
      <x:c r="C7" s="46" t="n">
        <x:v>-107.6436041491745</x:v>
      </x:c>
      <x:c r="D7" t="str"/>
    </x:row>
    <x:row r="8">
      <x:c r="A8" t="str">
        <x:v>entry_product</x:v>
      </x:c>
      <x:c r="B8" t="str">
        <x:v>Lifetime Access</x:v>
      </x:c>
      <x:c r="C8" s="46" t="n">
        <x:v>354.02343969186836</x:v>
      </x:c>
      <x:c r="D8" t="str"/>
    </x:row>
    <x:row r="9">
      <x:c r="A9" t="str">
        <x:v>entry_product</x:v>
      </x:c>
      <x:c r="B9" t="str">
        <x:v>Other</x:v>
      </x:c>
      <x:c r="C9" s="46" t="n">
        <x:v>-193.3406707514381</x:v>
      </x:c>
      <x:c r="D9" t="str"/>
    </x:row>
    <x:row r="10">
      <x:c r="A10" t="str">
        <x:v>entry_product</x:v>
      </x:c>
      <x:c r="B10" t="str">
        <x:v>Power BI</x:v>
      </x:c>
      <x:c r="C10" s="46" t="n">
        <x:v>36.018635174877765</x:v>
      </x:c>
      <x:c r="D10" t="str"/>
    </x:row>
    <x:row r="11">
      <x:c r="A11" t="str">
        <x:v>entry_product</x:v>
      </x:c>
      <x:c r="B11" t="str">
        <x:v>Python</x:v>
      </x:c>
      <x:c r="C11" s="46" t="n">
        <x:v>-157.04202564378025</x:v>
      </x:c>
      <x:c r="D11" t="str"/>
    </x:row>
    <x:row r="12">
      <x:c r="A12" t="str">
        <x:v>sales_channel</x:v>
      </x:c>
      <x:c r="B12" t="str">
        <x:v>Checkout</x:v>
      </x:c>
      <x:c r="C12" s="46" t="n">
        <x:v>0</x:v>
      </x:c>
      <x:c r="D12" t="str">
        <x:v>Reference category</x:v>
      </x:c>
    </x:row>
    <x:row r="13">
      <x:c r="A13" t="str">
        <x:v>sales_channel</x:v>
      </x:c>
      <x:c r="B13" t="str">
        <x:v>Commercial</x:v>
      </x:c>
      <x:c r="C13" s="46" t="n">
        <x:v>-138.72997200847198</x:v>
      </x:c>
      <x:c r="D13" t="str"/>
    </x:row>
    <x:row r="14">
      <x:c r="A14" t="str">
        <x:v>sales_channel</x:v>
      </x:c>
      <x:c r="B14" t="str">
        <x:v>Direct Traffic</x:v>
      </x:c>
      <x:c r="C14" s="46" t="n">
        <x:v>-528.614588328954</x:v>
      </x:c>
      <x:c r="D14" t="str"/>
    </x:row>
    <x:row r="15">
      <x:c r="A15" t="str">
        <x:v>sales_channel</x:v>
      </x:c>
      <x:c r="B15" t="str">
        <x:v>Launch</x:v>
      </x:c>
      <x:c r="C15" s="46" t="n">
        <x:v>-211.39336687705062</x:v>
      </x:c>
      <x:c r="D15" t="str"/>
    </x:row>
    <x:row r="16">
      <x:c r="A16" t="str">
        <x:v>sales_channel</x:v>
      </x:c>
      <x:c r="B16" t="str">
        <x:v>Other</x:v>
      </x:c>
      <x:c r="C16" s="46" t="n">
        <x:v>-614.4626460042267</x:v>
      </x:c>
      <x:c r="D16" t="str"/>
    </x:row>
    <x:row r="17">
      <x:c r="A17" t="str">
        <x:v>sales_channel</x:v>
      </x:c>
      <x:c r="B17" t="str">
        <x:v>Waitlist</x:v>
      </x:c>
      <x:c r="C17" s="46" t="n">
        <x:v>-412.80729030685717</x:v>
      </x:c>
      <x:c r="D17" t="str"/>
    </x:row>
    <x:row r="18">
      <x:c r="A18" t="str">
        <x:v>sales_channel</x:v>
      </x:c>
      <x:c r="B18" t="str">
        <x:v>Webinar</x:v>
      </x:c>
      <x:c r="C18" s="46" t="n">
        <x:v>-169.99012372592279</x:v>
      </x:c>
      <x:c r="D18" t="str"/>
    </x:row>
    <x:row r="19">
      <x:c r="A19" t="str">
        <x:v>gender</x:v>
      </x:c>
      <x:c r="B19" t="str">
        <x:v>Female</x:v>
      </x:c>
      <x:c r="C19" s="46" t="n">
        <x:v>0</x:v>
      </x:c>
      <x:c r="D19" t="str">
        <x:v>Reference category</x:v>
      </x:c>
    </x:row>
    <x:row r="20">
      <x:c r="A20" t="str">
        <x:v>gender</x:v>
      </x:c>
      <x:c r="B20" t="str">
        <x:v>Male</x:v>
      </x:c>
      <x:c r="C20" s="46" t="n">
        <x:v>9.714148867380832</x:v>
      </x:c>
      <x:c r="D20" t="str"/>
    </x:row>
    <x:row r="21">
      <x:c r="A21" t="str">
        <x:v>gender</x:v>
      </x:c>
      <x:c r="B21" t="str">
        <x:v>Other</x:v>
      </x:c>
      <x:c r="C21" s="46" t="n">
        <x:v>7.747227096851855</x:v>
      </x:c>
      <x:c r="D21" t="str"/>
    </x:row>
    <x:row r="22">
      <x:c r="A22" t="str">
        <x:v>education</x:v>
      </x:c>
      <x:c r="B22" t="str">
        <x:v>Basic Education</x:v>
      </x:c>
      <x:c r="C22" s="46" t="n">
        <x:v>0</x:v>
      </x:c>
      <x:c r="D22" t="str">
        <x:v>Reference category</x:v>
      </x:c>
    </x:row>
    <x:row r="23">
      <x:c r="A23" t="str">
        <x:v>education</x:v>
      </x:c>
      <x:c r="B23" t="str">
        <x:v>High School</x:v>
      </x:c>
      <x:c r="C23" s="46" t="n">
        <x:v>-26.868855007722686</x:v>
      </x:c>
      <x:c r="D23" t="str"/>
    </x:row>
    <x:row r="24">
      <x:c r="A24" t="str">
        <x:v>education</x:v>
      </x:c>
      <x:c r="B24" t="str">
        <x:v>Higher Education - Complete</x:v>
      </x:c>
      <x:c r="C24" s="46" t="n">
        <x:v>-17.382228134447868</x:v>
      </x:c>
      <x:c r="D24" t="str"/>
    </x:row>
    <x:row r="25">
      <x:c r="A25" t="str">
        <x:v>education</x:v>
      </x:c>
      <x:c r="B25" t="str">
        <x:v>Higher Education - Incomplete</x:v>
      </x:c>
      <x:c r="C25" s="46" t="n">
        <x:v>-24.013084058009756</x:v>
      </x:c>
      <x:c r="D25" t="str"/>
    </x:row>
    <x:row r="26">
      <x:c r="A26" t="str">
        <x:v>education</x:v>
      </x:c>
      <x:c r="B26" t="str">
        <x:v>Higher Education+</x:v>
      </x:c>
      <x:c r="C26" s="46" t="n">
        <x:v>-23.84950788554162</x:v>
      </x:c>
      <x:c r="D26" t="str"/>
    </x:row>
    <x:row r="27">
      <x:c r="A27" t="str">
        <x:v>education</x:v>
      </x:c>
      <x:c r="B27" t="str">
        <x:v>Not Reported</x:v>
      </x:c>
      <x:c r="C27" s="46" t="n">
        <x:v>-27.92384865699283</x:v>
      </x:c>
      <x:c r="D27" t="str"/>
    </x:row>
    <x:row r="28">
      <x:c r="A28" t="str">
        <x:v>purchase_month</x:v>
      </x:c>
      <x:c r="B28" t="str">
        <x:v>1</x:v>
      </x:c>
      <x:c r="C28" s="46" t="n">
        <x:v>0</x:v>
      </x:c>
      <x:c r="D28" t="str">
        <x:v>Reference category</x:v>
      </x:c>
    </x:row>
    <x:row r="29">
      <x:c r="A29" t="str">
        <x:v>purchase_month</x:v>
      </x:c>
      <x:c r="B29" t="str">
        <x:v>2</x:v>
      </x:c>
      <x:c r="C29" s="46" t="n">
        <x:v>6.823636153664222</x:v>
      </x:c>
      <x:c r="D29" t="str"/>
    </x:row>
    <x:row r="30">
      <x:c r="A30" t="str">
        <x:v>purchase_month</x:v>
      </x:c>
      <x:c r="B30" t="str">
        <x:v>3</x:v>
      </x:c>
      <x:c r="C30" s="46" t="n">
        <x:v>7.9287154060584735</x:v>
      </x:c>
      <x:c r="D30" t="str"/>
    </x:row>
    <x:row r="31">
      <x:c r="A31" t="str">
        <x:v>purchase_month</x:v>
      </x:c>
      <x:c r="B31" t="str">
        <x:v>4</x:v>
      </x:c>
      <x:c r="C31" s="46" t="n">
        <x:v>11.615456819275723</x:v>
      </x:c>
      <x:c r="D31" t="str"/>
    </x:row>
    <x:row r="32">
      <x:c r="A32" t="str">
        <x:v>purchase_month</x:v>
      </x:c>
      <x:c r="B32" t="str">
        <x:v>5</x:v>
      </x:c>
      <x:c r="C32" s="46" t="n">
        <x:v>-25.72489275593819</x:v>
      </x:c>
      <x:c r="D32" t="str"/>
    </x:row>
    <x:row r="33">
      <x:c r="A33" t="str">
        <x:v>purchase_month</x:v>
      </x:c>
      <x:c r="B33" t="str">
        <x:v>6</x:v>
      </x:c>
      <x:c r="C33" s="46" t="n">
        <x:v>11.264137525624022</x:v>
      </x:c>
      <x:c r="D33" t="str"/>
    </x:row>
    <x:row r="34">
      <x:c r="A34" t="str">
        <x:v>purchase_month</x:v>
      </x:c>
      <x:c r="B34" t="str">
        <x:v>7</x:v>
      </x:c>
      <x:c r="C34" s="46" t="n">
        <x:v>-12.462186386139905</x:v>
      </x:c>
      <x:c r="D34" t="str"/>
    </x:row>
    <x:row r="35">
      <x:c r="A35" t="str">
        <x:v>purchase_month</x:v>
      </x:c>
      <x:c r="B35" t="str">
        <x:v>8</x:v>
      </x:c>
      <x:c r="C35" s="46" t="n">
        <x:v>-28.91453218494131</x:v>
      </x:c>
      <x:c r="D35" t="str"/>
    </x:row>
    <x:row r="36">
      <x:c r="A36" t="str">
        <x:v>purchase_month</x:v>
      </x:c>
      <x:c r="B36" t="str">
        <x:v>9</x:v>
      </x:c>
      <x:c r="C36" s="46" t="n">
        <x:v>23.72690737288671</x:v>
      </x:c>
      <x:c r="D36" t="str"/>
    </x:row>
    <x:row r="37">
      <x:c r="A37" t="str">
        <x:v>purchase_month</x:v>
      </x:c>
      <x:c r="B37" t="str">
        <x:v>10</x:v>
      </x:c>
      <x:c r="C37" s="46" t="n">
        <x:v>12.534944008951202</x:v>
      </x:c>
      <x:c r="D37" t="str"/>
    </x:row>
    <x:row r="38">
      <x:c r="A38" t="str">
        <x:v>purchase_month</x:v>
      </x:c>
      <x:c r="B38" t="str">
        <x:v>11</x:v>
      </x:c>
      <x:c r="C38" s="46" t="n">
        <x:v>22.69886648362883</x:v>
      </x:c>
      <x:c r="D38" t="str"/>
    </x:row>
    <x:row r="39">
      <x:c r="A39" t="str">
        <x:v>purchase_month</x:v>
      </x:c>
      <x:c r="B39" t="str">
        <x:v>12</x:v>
      </x:c>
      <x:c r="C39" s="46" t="n">
        <x:v>13.72426878021508</x:v>
      </x:c>
      <x:c r="D39" t="str"/>
    </x:row>
    <x:row r="40">
      <x:c r="A40" t="str">
        <x:v>purchase_day_of_week</x:v>
      </x:c>
      <x:c r="B40" t="str">
        <x:v>Friday</x:v>
      </x:c>
      <x:c r="C40" s="46" t="n">
        <x:v>0</x:v>
      </x:c>
      <x:c r="D40" t="str">
        <x:v>Reference category</x:v>
      </x:c>
    </x:row>
    <x:row r="41">
      <x:c r="A41" t="str">
        <x:v>purchase_day_of_week</x:v>
      </x:c>
      <x:c r="B41" t="str">
        <x:v>Monday</x:v>
      </x:c>
      <x:c r="C41" s="46" t="n">
        <x:v>-4.071061642523554</x:v>
      </x:c>
      <x:c r="D41" t="str"/>
    </x:row>
    <x:row r="42">
      <x:c r="A42" t="str">
        <x:v>purchase_day_of_week</x:v>
      </x:c>
      <x:c r="B42" t="str">
        <x:v>Saturday</x:v>
      </x:c>
      <x:c r="C42" s="46" t="n">
        <x:v>6.2257800857395</x:v>
      </x:c>
      <x:c r="D42" t="str"/>
    </x:row>
    <x:row r="43">
      <x:c r="A43" t="str">
        <x:v>purchase_day_of_week</x:v>
      </x:c>
      <x:c r="B43" t="str">
        <x:v>Sunday</x:v>
      </x:c>
      <x:c r="C43" s="46" t="n">
        <x:v>2.0766874335308954</x:v>
      </x:c>
      <x:c r="D43" t="str"/>
    </x:row>
    <x:row r="44">
      <x:c r="A44" t="str">
        <x:v>purchase_day_of_week</x:v>
      </x:c>
      <x:c r="B44" t="str">
        <x:v>Thursday</x:v>
      </x:c>
      <x:c r="C44" s="46" t="n">
        <x:v>-12.426676794120015</x:v>
      </x:c>
      <x:c r="D44" t="str"/>
    </x:row>
    <x:row r="45">
      <x:c r="A45" t="str">
        <x:v>purchase_day_of_week</x:v>
      </x:c>
      <x:c r="B45" t="str">
        <x:v>Tuesday</x:v>
      </x:c>
      <x:c r="C45" s="46" t="n">
        <x:v>9.222414228021588</x:v>
      </x:c>
      <x:c r="D45" t="str"/>
    </x:row>
    <x:row r="46">
      <x:c r="A46" t="str">
        <x:v>purchase_day_of_week</x:v>
      </x:c>
      <x:c r="B46" t="str">
        <x:v>Wednesday</x:v>
      </x:c>
      <x:c r="C46" s="46" t="n">
        <x:v>-6.058396875396041</x:v>
      </x:c>
      <x:c r="D46" t="str"/>
    </x:row>
  </x:sheetData>
  <x:pageMargins left="0.7" right="0.7" top="0.75" bottom="0.75" header="0.3" footer="0.3"/>
</x:worksheet>
</file>